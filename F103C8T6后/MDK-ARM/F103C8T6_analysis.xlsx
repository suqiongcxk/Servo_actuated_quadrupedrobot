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<sst xmlns="http://schemas.openxmlformats.org/spreadsheetml/2006/main" count="151" uniqueCount="123">
  <si>
    <t>F103C8T6</t>
  </si>
  <si>
    <t>heap_4.o</t>
  </si>
  <si>
    <t>cmsis_os2.o</t>
  </si>
  <si>
    <t>startup_stm32f103xb.o</t>
  </si>
  <si>
    <t>tasks.o</t>
  </si>
  <si>
    <t>usart.o</t>
  </si>
  <si>
    <t>servo_control.o</t>
  </si>
  <si>
    <t>timers.o</t>
  </si>
  <si>
    <t>tim.o</t>
  </si>
  <si>
    <t>adc.o</t>
  </si>
  <si>
    <t>c_w.l</t>
  </si>
  <si>
    <t>libspace.o</t>
  </si>
  <si>
    <t>stm32f1xx_hal_timebase_tim.o</t>
  </si>
  <si>
    <t>adc_m.o</t>
  </si>
  <si>
    <t>queue.o</t>
  </si>
  <si>
    <t>rs485.o</t>
  </si>
  <si>
    <t>freertos.o</t>
  </si>
  <si>
    <t>port.o</t>
  </si>
  <si>
    <t>stm32f1xx_hal.o</t>
  </si>
  <si>
    <t>system_stm32f1xx.o</t>
  </si>
  <si>
    <t>data_table.o</t>
  </si>
  <si>
    <t>fz_ws.l</t>
  </si>
  <si>
    <t>stm32f1xx_hal_tim.o</t>
  </si>
  <si>
    <t>btod.o</t>
  </si>
  <si>
    <t>stm32f1xx_hal_rcc.o</t>
  </si>
  <si>
    <t>stm32f1xx_hal_uart.o</t>
  </si>
  <si>
    <t>stm32f1xx_hal_adc.o</t>
  </si>
  <si>
    <t>_printf_fp_dec.o</t>
  </si>
  <si>
    <t>stm32f1xx_hal_gpio.o</t>
  </si>
  <si>
    <t>daddsub_clz.o</t>
  </si>
  <si>
    <t>stm32f1xx_hal_dma.o</t>
  </si>
  <si>
    <t>ddiv.o</t>
  </si>
  <si>
    <t>stm32f1xx_hal_rcc_ex.o</t>
  </si>
  <si>
    <t>faddsub_clz.o</t>
  </si>
  <si>
    <t>fdiv.o</t>
  </si>
  <si>
    <t>bigflt0.o</t>
  </si>
  <si>
    <t>dmul.o</t>
  </si>
  <si>
    <t>__printf_flags_wp.o</t>
  </si>
  <si>
    <t>main.o</t>
  </si>
  <si>
    <t>stm32f1xx_hal_adc_ex.o</t>
  </si>
  <si>
    <t>fmul.o</t>
  </si>
  <si>
    <t>stm32f1xx_hal_tim_ex.o</t>
  </si>
  <si>
    <t>stm32f1xx_hal_cortex.o</t>
  </si>
  <si>
    <t>dnaninf.o</t>
  </si>
  <si>
    <t>list.o</t>
  </si>
  <si>
    <t>fcmp4.o</t>
  </si>
  <si>
    <t>fnaninf.o</t>
  </si>
  <si>
    <t>gpio.o</t>
  </si>
  <si>
    <t>rt_memcpy_v6.o</t>
  </si>
  <si>
    <t>lludiv10.o</t>
  </si>
  <si>
    <t>init_alloc.o</t>
  </si>
  <si>
    <t>strcmpv7m.o</t>
  </si>
  <si>
    <t>_printf_fp_infnan.o</t>
  </si>
  <si>
    <t>m_ws.l</t>
  </si>
  <si>
    <t>dleqf.o</t>
  </si>
  <si>
    <t>fleqf.o</t>
  </si>
  <si>
    <t>feqf.o</t>
  </si>
  <si>
    <t>stm32f1xx_it.o</t>
  </si>
  <si>
    <t>rt_memcpy_w.o</t>
  </si>
  <si>
    <t>dma.o</t>
  </si>
  <si>
    <t>frleqf.o</t>
  </si>
  <si>
    <t>stm32f1xx_hal_msp.o</t>
  </si>
  <si>
    <t>h1_alloc.o</t>
  </si>
  <si>
    <t>__dczerorl2.o</t>
  </si>
  <si>
    <t>f2d.o</t>
  </si>
  <si>
    <t>defsig_rtmem_inner.o</t>
  </si>
  <si>
    <t>rt_memclr_w.o</t>
  </si>
  <si>
    <t>h1_free.o</t>
  </si>
  <si>
    <t>sys_stackheap_outer.o</t>
  </si>
  <si>
    <t>lc_numeric_c.o</t>
  </si>
  <si>
    <t>rt_memclr.o</t>
  </si>
  <si>
    <t>ffixu.o</t>
  </si>
  <si>
    <t>ffix.o</t>
  </si>
  <si>
    <t>h1_extend.o</t>
  </si>
  <si>
    <t>__scatter.o</t>
  </si>
  <si>
    <t>defsig_general.o</t>
  </si>
  <si>
    <t>_printf_char_common.o</t>
  </si>
  <si>
    <t>fpclassify.o</t>
  </si>
  <si>
    <t>fminf.o</t>
  </si>
  <si>
    <t>fmaxf.o</t>
  </si>
  <si>
    <t>fflt_clz.o</t>
  </si>
  <si>
    <t>dflt_clz.o</t>
  </si>
  <si>
    <t>_printf_char_file.o</t>
  </si>
  <si>
    <t>__scatter_zi.o</t>
  </si>
  <si>
    <t>libinit2.o</t>
  </si>
  <si>
    <t>fcmpi.o</t>
  </si>
  <si>
    <t>dcmpi.o</t>
  </si>
  <si>
    <t>noretval__2printf.o</t>
  </si>
  <si>
    <t>exit.o</t>
  </si>
  <si>
    <t>aeabi_memset.o</t>
  </si>
  <si>
    <t>sys_wrch.o</t>
  </si>
  <si>
    <t>h1_init.o</t>
  </si>
  <si>
    <t>defsig_rtmem_outer.o</t>
  </si>
  <si>
    <t>__printf_wp.o</t>
  </si>
  <si>
    <t>dretinf.o</t>
  </si>
  <si>
    <t>__rtentry2.o</t>
  </si>
  <si>
    <t>fretinf.o</t>
  </si>
  <si>
    <t>rtexit2.o</t>
  </si>
  <si>
    <t>defsig_exit.o</t>
  </si>
  <si>
    <t>rt_locale_intlibspace.o</t>
  </si>
  <si>
    <t>ferror.o</t>
  </si>
  <si>
    <t>__main.o</t>
  </si>
  <si>
    <t>heapauxi.o</t>
  </si>
  <si>
    <t>_printf_f.o</t>
  </si>
  <si>
    <t>__rtentry4.o</t>
  </si>
  <si>
    <t>printf1.o</t>
  </si>
  <si>
    <t>hguard.o</t>
  </si>
  <si>
    <t>_printf_percent_end.o</t>
  </si>
  <si>
    <t>use_no_semi.o</t>
  </si>
  <si>
    <t>rtexit.o</t>
  </si>
  <si>
    <t>libshutdown2.o</t>
  </si>
  <si>
    <t>libshutdown.o</t>
  </si>
  <si>
    <t>libinit.o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</si>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</sst>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ram_percent!$A$3:$A$115</c:f>
              <c:strCache>
                <c:ptCount val="113"/>
                <c:pt idx="0">
                  <c:v>heap_4.o</c:v>
                </c:pt>
                <c:pt idx="1">
                  <c:v>cmsis_os2.o</c:v>
                </c:pt>
                <c:pt idx="2">
                  <c:v>startup_stm32f103xb.o</c:v>
                </c:pt>
                <c:pt idx="3">
                  <c:v>tasks.o</c:v>
                </c:pt>
                <c:pt idx="4">
                  <c:v>usart.o</c:v>
                </c:pt>
                <c:pt idx="5">
                  <c:v>servo_control.o</c:v>
                </c:pt>
                <c:pt idx="6">
                  <c:v>timers.o</c:v>
                </c:pt>
                <c:pt idx="7">
                  <c:v>tim.o</c:v>
                </c:pt>
                <c:pt idx="8">
                  <c:v>adc.o</c:v>
                </c:pt>
                <c:pt idx="9">
                  <c:v>c_w.l</c:v>
                </c:pt>
                <c:pt idx="10">
                  <c:v>libspace.o</c:v>
                </c:pt>
                <c:pt idx="11">
                  <c:v>stm32f1xx_hal_timebase_tim.o</c:v>
                </c:pt>
                <c:pt idx="12">
                  <c:v>adc_m.o</c:v>
                </c:pt>
                <c:pt idx="13">
                  <c:v>queue.o</c:v>
                </c:pt>
                <c:pt idx="14">
                  <c:v>rs485.o</c:v>
                </c:pt>
                <c:pt idx="15">
                  <c:v>freertos.o</c:v>
                </c:pt>
                <c:pt idx="16">
                  <c:v>port.o</c:v>
                </c:pt>
                <c:pt idx="17">
                  <c:v>stm32f1xx_hal.o</c:v>
                </c:pt>
                <c:pt idx="18">
                  <c:v>system_stm32f1xx.o</c:v>
                </c:pt>
                <c:pt idx="112">
                  <c:v>Totals</c:v>
                </c:pt>
              </c:strCache>
            </c:strRef>
          </c:cat>
          <c:val>
            <c:numRef>
              <c:f>ram_percent!$B$3:$B$115</c:f>
              <c:numCache>
                <c:formatCode>General</c:formatCode>
                <c:ptCount val="113"/>
                <c:pt idx="0">
                  <c:v>61.21208572387695</c:v>
                </c:pt>
                <c:pt idx="1">
                  <c:v>10.27352333068848</c:v>
                </c:pt>
                <c:pt idx="2">
                  <c:v>9.153208732604981</c:v>
                </c:pt>
                <c:pt idx="3">
                  <c:v>7.627674102783203</c:v>
                </c:pt>
                <c:pt idx="4">
                  <c:v>3.337107419967651</c:v>
                </c:pt>
                <c:pt idx="5">
                  <c:v>2.073773860931397</c:v>
                </c:pt>
                <c:pt idx="6">
                  <c:v>1.787736177444458</c:v>
                </c:pt>
                <c:pt idx="7">
                  <c:v>0.8581133484840393</c:v>
                </c:pt>
                <c:pt idx="8">
                  <c:v>0.6912579536437988</c:v>
                </c:pt>
                <c:pt idx="9">
                  <c:v>0.5720755457878113</c:v>
                </c:pt>
                <c:pt idx="10">
                  <c:v>0.5720755457878113</c:v>
                </c:pt>
                <c:pt idx="11">
                  <c:v>0.4290566742420197</c:v>
                </c:pt>
                <c:pt idx="12">
                  <c:v>0.4052201807498932</c:v>
                </c:pt>
                <c:pt idx="13">
                  <c:v>0.3813837170600891</c:v>
                </c:pt>
                <c:pt idx="14">
                  <c:v>0.3575472235679627</c:v>
                </c:pt>
                <c:pt idx="15">
                  <c:v>0.1191824078559876</c:v>
                </c:pt>
                <c:pt idx="16">
                  <c:v>0.07150944322347641</c:v>
                </c:pt>
                <c:pt idx="17">
                  <c:v>0.05363208428025246</c:v>
                </c:pt>
                <c:pt idx="18">
                  <c:v>0.02383648231625557</c:v>
                </c:pt>
                <c:pt idx="112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flash_percent!$A$3:$A$115</c:f>
              <c:strCache>
                <c:ptCount val="113"/>
                <c:pt idx="0">
                  <c:v>c_w.l</c:v>
                </c:pt>
                <c:pt idx="1">
                  <c:v>data_table.o</c:v>
                </c:pt>
                <c:pt idx="2">
                  <c:v>fz_ws.l</c:v>
                </c:pt>
                <c:pt idx="3">
                  <c:v>tasks.o</c:v>
                </c:pt>
                <c:pt idx="4">
                  <c:v>queue.o</c:v>
                </c:pt>
                <c:pt idx="5">
                  <c:v>stm32f1xx_hal_tim.o</c:v>
                </c:pt>
                <c:pt idx="6">
                  <c:v>btod.o</c:v>
                </c:pt>
                <c:pt idx="7">
                  <c:v>stm32f1xx_hal_rcc.o</c:v>
                </c:pt>
                <c:pt idx="8">
                  <c:v>stm32f1xx_hal_uart.o</c:v>
                </c:pt>
                <c:pt idx="9">
                  <c:v>stm32f1xx_hal_adc.o</c:v>
                </c:pt>
                <c:pt idx="10">
                  <c:v>rs485.o</c:v>
                </c:pt>
                <c:pt idx="11">
                  <c:v>timers.o</c:v>
                </c:pt>
                <c:pt idx="12">
                  <c:v>_printf_fp_dec.o</c:v>
                </c:pt>
                <c:pt idx="13">
                  <c:v>freertos.o</c:v>
                </c:pt>
                <c:pt idx="14">
                  <c:v>port.o</c:v>
                </c:pt>
                <c:pt idx="15">
                  <c:v>servo_control.o</c:v>
                </c:pt>
                <c:pt idx="16">
                  <c:v>usart.o</c:v>
                </c:pt>
                <c:pt idx="17">
                  <c:v>stm32f1xx_hal_gpio.o</c:v>
                </c:pt>
                <c:pt idx="18">
                  <c:v>daddsub_clz.o</c:v>
                </c:pt>
                <c:pt idx="19">
                  <c:v>stm32f1xx_hal_dma.o</c:v>
                </c:pt>
                <c:pt idx="20">
                  <c:v>heap_4.o</c:v>
                </c:pt>
                <c:pt idx="21">
                  <c:v>tim.o</c:v>
                </c:pt>
                <c:pt idx="22">
                  <c:v>ddiv.o</c:v>
                </c:pt>
                <c:pt idx="23">
                  <c:v>cmsis_os2.o</c:v>
                </c:pt>
                <c:pt idx="24">
                  <c:v>stm32f1xx_hal_rcc_ex.o</c:v>
                </c:pt>
                <c:pt idx="25">
                  <c:v>faddsub_clz.o</c:v>
                </c:pt>
                <c:pt idx="26">
                  <c:v>adc.o</c:v>
                </c:pt>
                <c:pt idx="27">
                  <c:v>fdiv.o</c:v>
                </c:pt>
                <c:pt idx="28">
                  <c:v>bigflt0.o</c:v>
                </c:pt>
                <c:pt idx="29">
                  <c:v>adc_m.o</c:v>
                </c:pt>
                <c:pt idx="30">
                  <c:v>dmul.o</c:v>
                </c:pt>
                <c:pt idx="31">
                  <c:v>__printf_flags_wp.o</c:v>
                </c:pt>
                <c:pt idx="32">
                  <c:v>startup_stm32f103xb.o</c:v>
                </c:pt>
                <c:pt idx="33">
                  <c:v>main.o</c:v>
                </c:pt>
                <c:pt idx="34">
                  <c:v>stm32f1xx_hal_adc_ex.o</c:v>
                </c:pt>
                <c:pt idx="35">
                  <c:v>fmul.o</c:v>
                </c:pt>
                <c:pt idx="36">
                  <c:v>stm32f1xx_hal_tim_ex.o</c:v>
                </c:pt>
                <c:pt idx="37">
                  <c:v>stm32f1xx_hal_cortex.o</c:v>
                </c:pt>
                <c:pt idx="38">
                  <c:v>stm32f1xx_hal_timebase_tim.o</c:v>
                </c:pt>
                <c:pt idx="39">
                  <c:v>dnaninf.o</c:v>
                </c:pt>
                <c:pt idx="40">
                  <c:v>list.o</c:v>
                </c:pt>
                <c:pt idx="41">
                  <c:v>fcmp4.o</c:v>
                </c:pt>
                <c:pt idx="42">
                  <c:v>fnaninf.o</c:v>
                </c:pt>
                <c:pt idx="43">
                  <c:v>gpio.o</c:v>
                </c:pt>
                <c:pt idx="44">
                  <c:v>rt_memcpy_v6.o</c:v>
                </c:pt>
                <c:pt idx="45">
                  <c:v>lludiv10.o</c:v>
                </c:pt>
                <c:pt idx="46">
                  <c:v>init_alloc.o</c:v>
                </c:pt>
                <c:pt idx="47">
                  <c:v>strcmpv7m.o</c:v>
                </c:pt>
                <c:pt idx="48">
                  <c:v>_printf_fp_infnan.o</c:v>
                </c:pt>
                <c:pt idx="49">
                  <c:v>stm32f1xx_hal.o</c:v>
                </c:pt>
                <c:pt idx="50">
                  <c:v>m_ws.l</c:v>
                </c:pt>
                <c:pt idx="51">
                  <c:v>dleqf.o</c:v>
                </c:pt>
                <c:pt idx="52">
                  <c:v>fleqf.o</c:v>
                </c:pt>
                <c:pt idx="53">
                  <c:v>feqf.o</c:v>
                </c:pt>
                <c:pt idx="54">
                  <c:v>stm32f1xx_it.o</c:v>
                </c:pt>
                <c:pt idx="55">
                  <c:v>rt_memcpy_w.o</c:v>
                </c:pt>
                <c:pt idx="56">
                  <c:v>dma.o</c:v>
                </c:pt>
                <c:pt idx="57">
                  <c:v>frleqf.o</c:v>
                </c:pt>
                <c:pt idx="58">
                  <c:v>stm32f1xx_hal_msp.o</c:v>
                </c:pt>
                <c:pt idx="59">
                  <c:v>h1_alloc.o</c:v>
                </c:pt>
                <c:pt idx="60">
                  <c:v>__dczerorl2.o</c:v>
                </c:pt>
                <c:pt idx="61">
                  <c:v>f2d.o</c:v>
                </c:pt>
                <c:pt idx="62">
                  <c:v>defsig_rtmem_inner.o</c:v>
                </c:pt>
                <c:pt idx="63">
                  <c:v>rt_memclr_w.o</c:v>
                </c:pt>
                <c:pt idx="64">
                  <c:v>h1_free.o</c:v>
                </c:pt>
                <c:pt idx="65">
                  <c:v>sys_stackheap_outer.o</c:v>
                </c:pt>
                <c:pt idx="66">
                  <c:v>lc_numeric_c.o</c:v>
                </c:pt>
                <c:pt idx="67">
                  <c:v>rt_memclr.o</c:v>
                </c:pt>
                <c:pt idx="68">
                  <c:v>ffixu.o</c:v>
                </c:pt>
                <c:pt idx="69">
                  <c:v>ffix.o</c:v>
                </c:pt>
                <c:pt idx="70">
                  <c:v>h1_extend.o</c:v>
                </c:pt>
                <c:pt idx="71">
                  <c:v>__scatter.o</c:v>
                </c:pt>
                <c:pt idx="72">
                  <c:v>defsig_general.o</c:v>
                </c:pt>
                <c:pt idx="73">
                  <c:v>_printf_char_common.o</c:v>
                </c:pt>
                <c:pt idx="74">
                  <c:v>fpclassify.o</c:v>
                </c:pt>
                <c:pt idx="75">
                  <c:v>fminf.o</c:v>
                </c:pt>
                <c:pt idx="76">
                  <c:v>fmaxf.o</c:v>
                </c:pt>
                <c:pt idx="77">
                  <c:v>fflt_clz.o</c:v>
                </c:pt>
                <c:pt idx="78">
                  <c:v>dflt_clz.o</c:v>
                </c:pt>
                <c:pt idx="79">
                  <c:v>_printf_char_file.o</c:v>
                </c:pt>
                <c:pt idx="80">
                  <c:v>system_stm32f1xx.o</c:v>
                </c:pt>
                <c:pt idx="81">
                  <c:v>__scatter_zi.o</c:v>
                </c:pt>
                <c:pt idx="82">
                  <c:v>libinit2.o</c:v>
                </c:pt>
                <c:pt idx="83">
                  <c:v>fcmpi.o</c:v>
                </c:pt>
                <c:pt idx="84">
                  <c:v>dcmpi.o</c:v>
                </c:pt>
                <c:pt idx="85">
                  <c:v>noretval__2printf.o</c:v>
                </c:pt>
                <c:pt idx="86">
                  <c:v>exit.o</c:v>
                </c:pt>
                <c:pt idx="87">
                  <c:v>aeabi_memset.o</c:v>
                </c:pt>
                <c:pt idx="88">
                  <c:v>sys_wrch.o</c:v>
                </c:pt>
                <c:pt idx="89">
                  <c:v>h1_init.o</c:v>
                </c:pt>
                <c:pt idx="90">
                  <c:v>defsig_rtmem_outer.o</c:v>
                </c:pt>
                <c:pt idx="91">
                  <c:v>__printf_wp.o</c:v>
                </c:pt>
                <c:pt idx="92">
                  <c:v>dretinf.o</c:v>
                </c:pt>
                <c:pt idx="93">
                  <c:v>__rtentry2.o</c:v>
                </c:pt>
                <c:pt idx="94">
                  <c:v>fretinf.o</c:v>
                </c:pt>
                <c:pt idx="95">
                  <c:v>rtexit2.o</c:v>
                </c:pt>
                <c:pt idx="96">
                  <c:v>defsig_exit.o</c:v>
                </c:pt>
                <c:pt idx="97">
                  <c:v>rt_locale_intlibspace.o</c:v>
                </c:pt>
                <c:pt idx="98">
                  <c:v>libspace.o</c:v>
                </c:pt>
                <c:pt idx="99">
                  <c:v>ferror.o</c:v>
                </c:pt>
                <c:pt idx="100">
                  <c:v>__main.o</c:v>
                </c:pt>
                <c:pt idx="101">
                  <c:v>heapauxi.o</c:v>
                </c:pt>
                <c:pt idx="102">
                  <c:v>_printf_f.o</c:v>
                </c:pt>
                <c:pt idx="103">
                  <c:v>__rtentry4.o</c:v>
                </c:pt>
                <c:pt idx="104">
                  <c:v>printf1.o</c:v>
                </c:pt>
                <c:pt idx="105">
                  <c:v>hguard.o</c:v>
                </c:pt>
                <c:pt idx="106">
                  <c:v>_printf_percent_end.o</c:v>
                </c:pt>
                <c:pt idx="107">
                  <c:v>use_no_semi.o</c:v>
                </c:pt>
                <c:pt idx="108">
                  <c:v>rtexit.o</c:v>
                </c:pt>
                <c:pt idx="109">
                  <c:v>libshutdown2.o</c:v>
                </c:pt>
                <c:pt idx="110">
                  <c:v>libshutdown.o</c:v>
                </c:pt>
                <c:pt idx="111">
                  <c:v>libinit.o</c:v>
                </c:pt>
                <c:pt idx="112">
                  <c:v>Totals</c:v>
                </c:pt>
              </c:strCache>
            </c:strRef>
          </c:cat>
          <c:val>
            <c:numRef>
              <c:f>flash_percent!$B$3:$B$115</c:f>
              <c:numCache>
                <c:formatCode>General</c:formatCode>
                <c:ptCount val="113"/>
                <c:pt idx="0">
                  <c:v>10.88951396942139</c:v>
                </c:pt>
                <c:pt idx="1">
                  <c:v>9.38209342956543</c:v>
                </c:pt>
                <c:pt idx="2">
                  <c:v>8.039577484130859</c:v>
                </c:pt>
                <c:pt idx="3">
                  <c:v>6.347851276397705</c:v>
                </c:pt>
                <c:pt idx="4">
                  <c:v>5.792996406555176</c:v>
                </c:pt>
                <c:pt idx="5">
                  <c:v>4.279755592346191</c:v>
                </c:pt>
                <c:pt idx="6">
                  <c:v>3.755941390991211</c:v>
                </c:pt>
                <c:pt idx="7">
                  <c:v>3.558056116104126</c:v>
                </c:pt>
                <c:pt idx="8">
                  <c:v>2.937239408493042</c:v>
                </c:pt>
                <c:pt idx="9">
                  <c:v>2.770394802093506</c:v>
                </c:pt>
                <c:pt idx="10">
                  <c:v>2.766514778137207</c:v>
                </c:pt>
                <c:pt idx="11">
                  <c:v>2.595790147781372</c:v>
                </c:pt>
                <c:pt idx="12">
                  <c:v>2.044815301895142</c:v>
                </c:pt>
                <c:pt idx="13">
                  <c:v>1.928412079811096</c:v>
                </c:pt>
                <c:pt idx="14">
                  <c:v>1.680085420608521</c:v>
                </c:pt>
                <c:pt idx="15">
                  <c:v>1.652924656867981</c:v>
                </c:pt>
                <c:pt idx="16">
                  <c:v>1.633524060249329</c:v>
                </c:pt>
                <c:pt idx="17">
                  <c:v>1.575322508811951</c:v>
                </c:pt>
                <c:pt idx="18">
                  <c:v>1.559802055358887</c:v>
                </c:pt>
                <c:pt idx="19">
                  <c:v>1.555922031402588</c:v>
                </c:pt>
                <c:pt idx="20">
                  <c:v>1.466679573059082</c:v>
                </c:pt>
                <c:pt idx="21">
                  <c:v>1.458919405937195</c:v>
                </c:pt>
                <c:pt idx="22">
                  <c:v>1.334756016731262</c:v>
                </c:pt>
                <c:pt idx="23">
                  <c:v>1.237753391265869</c:v>
                </c:pt>
                <c:pt idx="24">
                  <c:v>1.113590121269226</c:v>
                </c:pt>
                <c:pt idx="25">
                  <c:v>0.8730235695838928</c:v>
                </c:pt>
                <c:pt idx="26">
                  <c:v>0.8225821852684021</c:v>
                </c:pt>
                <c:pt idx="27">
                  <c:v>0.7527403235435486</c:v>
                </c:pt>
                <c:pt idx="28">
                  <c:v>0.7294597029685974</c:v>
                </c:pt>
                <c:pt idx="29">
                  <c:v>0.6828984618186951</c:v>
                </c:pt>
                <c:pt idx="30">
                  <c:v>0.6596177816390991</c:v>
                </c:pt>
                <c:pt idx="31">
                  <c:v>0.6382772326469421</c:v>
                </c:pt>
                <c:pt idx="32">
                  <c:v>0.5820156931877136</c:v>
                </c:pt>
                <c:pt idx="33">
                  <c:v>0.5548549890518189</c:v>
                </c:pt>
                <c:pt idx="34">
                  <c:v>0.5509749054908752</c:v>
                </c:pt>
                <c:pt idx="35">
                  <c:v>0.5005335211753845</c:v>
                </c:pt>
                <c:pt idx="36">
                  <c:v>0.4888932108879089</c:v>
                </c:pt>
                <c:pt idx="37">
                  <c:v>0.4888932108879089</c:v>
                </c:pt>
                <c:pt idx="38">
                  <c:v>0.3492094278335571</c:v>
                </c:pt>
                <c:pt idx="39">
                  <c:v>0.3026481568813324</c:v>
                </c:pt>
                <c:pt idx="40">
                  <c:v>0.2871277630329132</c:v>
                </c:pt>
                <c:pt idx="41">
                  <c:v>0.2754874527454376</c:v>
                </c:pt>
                <c:pt idx="42">
                  <c:v>0.2716073393821716</c:v>
                </c:pt>
                <c:pt idx="43">
                  <c:v>0.2716073393821716</c:v>
                </c:pt>
                <c:pt idx="44">
                  <c:v>0.2677272260189056</c:v>
                </c:pt>
                <c:pt idx="45">
                  <c:v>0.2677272260189056</c:v>
                </c:pt>
                <c:pt idx="46">
                  <c:v>0.2677272260189056</c:v>
                </c:pt>
                <c:pt idx="47">
                  <c:v>0.2483267039060593</c:v>
                </c:pt>
                <c:pt idx="48">
                  <c:v>0.2483267039060593</c:v>
                </c:pt>
                <c:pt idx="49">
                  <c:v>0.2425065487623215</c:v>
                </c:pt>
                <c:pt idx="50">
                  <c:v>0.2328062802553177</c:v>
                </c:pt>
                <c:pt idx="51">
                  <c:v>0.2328062802553177</c:v>
                </c:pt>
                <c:pt idx="52">
                  <c:v>0.2017654478549957</c:v>
                </c:pt>
                <c:pt idx="53">
                  <c:v>0.2017654478549957</c:v>
                </c:pt>
                <c:pt idx="54">
                  <c:v>0.1978853493928909</c:v>
                </c:pt>
                <c:pt idx="55">
                  <c:v>0.1940052360296249</c:v>
                </c:pt>
                <c:pt idx="56">
                  <c:v>0.1940052360296249</c:v>
                </c:pt>
                <c:pt idx="57">
                  <c:v>0.1901251375675201</c:v>
                </c:pt>
                <c:pt idx="58">
                  <c:v>0.1862450242042542</c:v>
                </c:pt>
                <c:pt idx="59">
                  <c:v>0.1823649257421494</c:v>
                </c:pt>
                <c:pt idx="60">
                  <c:v>0.1746047139167786</c:v>
                </c:pt>
                <c:pt idx="61">
                  <c:v>0.1668445020914078</c:v>
                </c:pt>
                <c:pt idx="62">
                  <c:v>0.1552041918039322</c:v>
                </c:pt>
                <c:pt idx="63">
                  <c:v>0.1513240784406662</c:v>
                </c:pt>
                <c:pt idx="64">
                  <c:v>0.1513240784406662</c:v>
                </c:pt>
                <c:pt idx="65">
                  <c:v>0.1435638815164566</c:v>
                </c:pt>
                <c:pt idx="66">
                  <c:v>0.1396837681531906</c:v>
                </c:pt>
                <c:pt idx="67">
                  <c:v>0.1319235563278198</c:v>
                </c:pt>
                <c:pt idx="68">
                  <c:v>0.1202832460403442</c:v>
                </c:pt>
                <c:pt idx="69">
                  <c:v>0.1047628298401833</c:v>
                </c:pt>
                <c:pt idx="70">
                  <c:v>0.1008827239274979</c:v>
                </c:pt>
                <c:pt idx="71">
                  <c:v>0.1008827239274979</c:v>
                </c:pt>
                <c:pt idx="72">
                  <c:v>0.09700261801481247</c:v>
                </c:pt>
                <c:pt idx="73">
                  <c:v>0.09312251210212708</c:v>
                </c:pt>
                <c:pt idx="74">
                  <c:v>0.0776020959019661</c:v>
                </c:pt>
                <c:pt idx="75">
                  <c:v>0.0776020959019661</c:v>
                </c:pt>
                <c:pt idx="76">
                  <c:v>0.0776020959019661</c:v>
                </c:pt>
                <c:pt idx="77">
                  <c:v>0.0737219899892807</c:v>
                </c:pt>
                <c:pt idx="78">
                  <c:v>0.0737219899892807</c:v>
                </c:pt>
                <c:pt idx="79">
                  <c:v>0.06984188407659531</c:v>
                </c:pt>
                <c:pt idx="80">
                  <c:v>0.05820157006382942</c:v>
                </c:pt>
                <c:pt idx="81">
                  <c:v>0.05432146787643433</c:v>
                </c:pt>
                <c:pt idx="82">
                  <c:v>0.05044136196374893</c:v>
                </c:pt>
                <c:pt idx="83">
                  <c:v>0.04656125605106354</c:v>
                </c:pt>
                <c:pt idx="84">
                  <c:v>0.04656125605106354</c:v>
                </c:pt>
                <c:pt idx="85">
                  <c:v>0.04656125605106354</c:v>
                </c:pt>
                <c:pt idx="86">
                  <c:v>0.03492094203829765</c:v>
                </c:pt>
                <c:pt idx="87">
                  <c:v>0.03104083798825741</c:v>
                </c:pt>
                <c:pt idx="88">
                  <c:v>0.02716073393821716</c:v>
                </c:pt>
                <c:pt idx="89">
                  <c:v>0.02716073393821716</c:v>
                </c:pt>
                <c:pt idx="90">
                  <c:v>0.02716073393821716</c:v>
                </c:pt>
                <c:pt idx="91">
                  <c:v>0.02716073393821716</c:v>
                </c:pt>
                <c:pt idx="92">
                  <c:v>0.02328062802553177</c:v>
                </c:pt>
                <c:pt idx="93">
                  <c:v>0.02328062802553177</c:v>
                </c:pt>
                <c:pt idx="94">
                  <c:v>0.01940052397549152</c:v>
                </c:pt>
                <c:pt idx="95">
                  <c:v>0.01940052397549152</c:v>
                </c:pt>
                <c:pt idx="96">
                  <c:v>0.01940052397549152</c:v>
                </c:pt>
                <c:pt idx="97">
                  <c:v>0.0155204189941287</c:v>
                </c:pt>
                <c:pt idx="98">
                  <c:v>0.0155204189941287</c:v>
                </c:pt>
                <c:pt idx="99">
                  <c:v>0.0155204189941287</c:v>
                </c:pt>
                <c:pt idx="100">
                  <c:v>0.0155204189941287</c:v>
                </c:pt>
                <c:pt idx="101">
                  <c:v>0.01164031401276588</c:v>
                </c:pt>
                <c:pt idx="102">
                  <c:v>0.01164031401276588</c:v>
                </c:pt>
                <c:pt idx="103">
                  <c:v>0.01164031401276588</c:v>
                </c:pt>
                <c:pt idx="104">
                  <c:v>0.007760209497064352</c:v>
                </c:pt>
                <c:pt idx="105">
                  <c:v>0.007760209497064352</c:v>
                </c:pt>
                <c:pt idx="106">
                  <c:v>0.007760209497064352</c:v>
                </c:pt>
                <c:pt idx="107">
                  <c:v>0.003880104748532176</c:v>
                </c:pt>
                <c:pt idx="108">
                  <c:v>0.003880104748532176</c:v>
                </c:pt>
                <c:pt idx="109">
                  <c:v>0.003880104748532176</c:v>
                </c:pt>
                <c:pt idx="110">
                  <c:v>0.003880104748532176</c:v>
                </c:pt>
                <c:pt idx="111">
                  <c:v>0.003880104748532176</c:v>
                </c:pt>
                <c:pt idx="112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115" totalsRowCount="1">
  <autoFilter ref="A2:H114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115" totalsRowCount="1">
  <autoFilter ref="A2:H114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5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113</v>
      </c>
      <c r="B2" t="s">
        <v>115</v>
      </c>
      <c r="C2" t="s">
        <v>116</v>
      </c>
      <c r="D2" t="s">
        <v>117</v>
      </c>
      <c r="E2" t="s">
        <v>118</v>
      </c>
      <c r="F2" t="s">
        <v>119</v>
      </c>
      <c r="G2" t="s">
        <v>120</v>
      </c>
      <c r="H2" t="s">
        <v>121</v>
      </c>
    </row>
    <row r="3" spans="1:8">
      <c r="A3" s="1" t="s">
        <v>1</v>
      </c>
      <c r="B3" s="2">
        <v>61.21208572387695</v>
      </c>
      <c r="C3" s="1">
        <v>10272</v>
      </c>
      <c r="D3" s="1">
        <v>756</v>
      </c>
      <c r="E3" s="1">
        <v>724</v>
      </c>
      <c r="F3" s="1">
        <v>0</v>
      </c>
      <c r="G3" s="1">
        <v>32</v>
      </c>
      <c r="H3" s="1">
        <v>10240</v>
      </c>
    </row>
    <row r="4" spans="1:8">
      <c r="A4" s="1" t="s">
        <v>2</v>
      </c>
      <c r="B4" s="2">
        <v>10.27352333068848</v>
      </c>
      <c r="C4" s="1">
        <v>1724</v>
      </c>
      <c r="D4" s="1">
        <v>638</v>
      </c>
      <c r="E4" s="1">
        <v>634</v>
      </c>
      <c r="F4" s="1">
        <v>0</v>
      </c>
      <c r="G4" s="1">
        <v>4</v>
      </c>
      <c r="H4" s="1">
        <v>1720</v>
      </c>
    </row>
    <row r="5" spans="1:8">
      <c r="A5" s="1" t="s">
        <v>3</v>
      </c>
      <c r="B5" s="2">
        <v>9.153208732604981</v>
      </c>
      <c r="C5" s="1">
        <v>1536</v>
      </c>
      <c r="D5" s="1">
        <v>300</v>
      </c>
      <c r="E5" s="1">
        <v>64</v>
      </c>
      <c r="F5" s="1">
        <v>236</v>
      </c>
      <c r="G5" s="1">
        <v>0</v>
      </c>
      <c r="H5" s="1">
        <v>1536</v>
      </c>
    </row>
    <row r="6" spans="1:8">
      <c r="A6" s="1" t="s">
        <v>4</v>
      </c>
      <c r="B6" s="2">
        <v>7.627674102783203</v>
      </c>
      <c r="C6" s="1">
        <v>1280</v>
      </c>
      <c r="D6" s="1">
        <v>3272</v>
      </c>
      <c r="E6" s="1">
        <v>3212</v>
      </c>
      <c r="F6" s="1">
        <v>0</v>
      </c>
      <c r="G6" s="1">
        <v>60</v>
      </c>
      <c r="H6" s="1">
        <v>1220</v>
      </c>
    </row>
    <row r="7" spans="1:8">
      <c r="A7" s="1" t="s">
        <v>5</v>
      </c>
      <c r="B7" s="2">
        <v>3.337107419967651</v>
      </c>
      <c r="C7" s="1">
        <v>560</v>
      </c>
      <c r="D7" s="1">
        <v>842</v>
      </c>
      <c r="E7" s="1">
        <v>834</v>
      </c>
      <c r="F7" s="1">
        <v>0</v>
      </c>
      <c r="G7" s="1">
        <v>8</v>
      </c>
      <c r="H7" s="1">
        <v>552</v>
      </c>
    </row>
    <row r="8" spans="1:8">
      <c r="A8" s="1" t="s">
        <v>6</v>
      </c>
      <c r="B8" s="2">
        <v>2.073773860931397</v>
      </c>
      <c r="C8" s="1">
        <v>348</v>
      </c>
      <c r="D8" s="1">
        <v>852</v>
      </c>
      <c r="E8" s="1">
        <v>756</v>
      </c>
      <c r="F8" s="1">
        <v>0</v>
      </c>
      <c r="G8" s="1">
        <v>96</v>
      </c>
      <c r="H8" s="1">
        <v>252</v>
      </c>
    </row>
    <row r="9" spans="1:8">
      <c r="A9" s="1" t="s">
        <v>7</v>
      </c>
      <c r="B9" s="2">
        <v>1.787736177444458</v>
      </c>
      <c r="C9" s="1">
        <v>300</v>
      </c>
      <c r="D9" s="1">
        <v>1338</v>
      </c>
      <c r="E9" s="1">
        <v>1318</v>
      </c>
      <c r="F9" s="1">
        <v>0</v>
      </c>
      <c r="G9" s="1">
        <v>20</v>
      </c>
      <c r="H9" s="1">
        <v>280</v>
      </c>
    </row>
    <row r="10" spans="1:8">
      <c r="A10" s="1" t="s">
        <v>8</v>
      </c>
      <c r="B10" s="2">
        <v>0.8581133484840393</v>
      </c>
      <c r="C10" s="1">
        <v>144</v>
      </c>
      <c r="D10" s="1">
        <v>752</v>
      </c>
      <c r="E10" s="1">
        <v>752</v>
      </c>
      <c r="F10" s="1">
        <v>0</v>
      </c>
      <c r="G10" s="1">
        <v>0</v>
      </c>
      <c r="H10" s="1">
        <v>144</v>
      </c>
    </row>
    <row r="11" spans="1:8">
      <c r="A11" s="1" t="s">
        <v>9</v>
      </c>
      <c r="B11" s="2">
        <v>0.6912579536437988</v>
      </c>
      <c r="C11" s="1">
        <v>116</v>
      </c>
      <c r="D11" s="1">
        <v>424</v>
      </c>
      <c r="E11" s="1">
        <v>424</v>
      </c>
      <c r="F11" s="1">
        <v>0</v>
      </c>
      <c r="G11" s="1">
        <v>0</v>
      </c>
      <c r="H11" s="1">
        <v>116</v>
      </c>
    </row>
    <row r="12" spans="1:8">
      <c r="A12" s="1" t="s">
        <v>10</v>
      </c>
      <c r="B12" s="2">
        <v>0.5720755457878113</v>
      </c>
      <c r="C12" s="1">
        <v>96</v>
      </c>
      <c r="D12" s="1">
        <v>5613</v>
      </c>
      <c r="E12" s="1">
        <v>5420</v>
      </c>
      <c r="F12" s="1">
        <v>193</v>
      </c>
      <c r="G12" s="1">
        <v>0</v>
      </c>
      <c r="H12" s="1">
        <v>96</v>
      </c>
    </row>
    <row r="13" spans="1:8">
      <c r="A13" s="1" t="s">
        <v>11</v>
      </c>
      <c r="B13" s="2">
        <v>0.5720755457878113</v>
      </c>
      <c r="C13" s="1">
        <v>96</v>
      </c>
      <c r="D13" s="1">
        <v>8</v>
      </c>
      <c r="E13" s="1">
        <v>8</v>
      </c>
      <c r="F13" s="1">
        <v>0</v>
      </c>
      <c r="G13" s="1">
        <v>0</v>
      </c>
      <c r="H13" s="1">
        <v>96</v>
      </c>
    </row>
    <row r="14" spans="1:8">
      <c r="A14" s="1" t="s">
        <v>12</v>
      </c>
      <c r="B14" s="2">
        <v>0.4290566742420197</v>
      </c>
      <c r="C14" s="1">
        <v>72</v>
      </c>
      <c r="D14" s="1">
        <v>180</v>
      </c>
      <c r="E14" s="1">
        <v>180</v>
      </c>
      <c r="F14" s="1">
        <v>0</v>
      </c>
      <c r="G14" s="1">
        <v>0</v>
      </c>
      <c r="H14" s="1">
        <v>72</v>
      </c>
    </row>
    <row r="15" spans="1:8">
      <c r="A15" s="1" t="s">
        <v>13</v>
      </c>
      <c r="B15" s="2">
        <v>0.4052201807498932</v>
      </c>
      <c r="C15" s="1">
        <v>68</v>
      </c>
      <c r="D15" s="1">
        <v>352</v>
      </c>
      <c r="E15" s="1">
        <v>344</v>
      </c>
      <c r="F15" s="1">
        <v>0</v>
      </c>
      <c r="G15" s="1">
        <v>8</v>
      </c>
      <c r="H15" s="1">
        <v>60</v>
      </c>
    </row>
    <row r="16" spans="1:8">
      <c r="A16" s="1" t="s">
        <v>14</v>
      </c>
      <c r="B16" s="2">
        <v>0.3813837170600891</v>
      </c>
      <c r="C16" s="1">
        <v>64</v>
      </c>
      <c r="D16" s="1">
        <v>2986</v>
      </c>
      <c r="E16" s="1">
        <v>2986</v>
      </c>
      <c r="F16" s="1">
        <v>0</v>
      </c>
      <c r="G16" s="1">
        <v>0</v>
      </c>
      <c r="H16" s="1">
        <v>64</v>
      </c>
    </row>
    <row r="17" spans="1:8">
      <c r="A17" s="1" t="s">
        <v>15</v>
      </c>
      <c r="B17" s="2">
        <v>0.3575472235679627</v>
      </c>
      <c r="C17" s="1">
        <v>60</v>
      </c>
      <c r="D17" s="1">
        <v>1426</v>
      </c>
      <c r="E17" s="1">
        <v>1110</v>
      </c>
      <c r="F17" s="1">
        <v>256</v>
      </c>
      <c r="G17" s="1">
        <v>60</v>
      </c>
      <c r="H17" s="1">
        <v>0</v>
      </c>
    </row>
    <row r="18" spans="1:8">
      <c r="A18" s="1" t="s">
        <v>16</v>
      </c>
      <c r="B18" s="2">
        <v>0.1191824078559876</v>
      </c>
      <c r="C18" s="1">
        <v>20</v>
      </c>
      <c r="D18" s="1">
        <v>994</v>
      </c>
      <c r="E18" s="1">
        <v>762</v>
      </c>
      <c r="F18" s="1">
        <v>212</v>
      </c>
      <c r="G18" s="1">
        <v>20</v>
      </c>
      <c r="H18" s="1">
        <v>0</v>
      </c>
    </row>
    <row r="19" spans="1:8">
      <c r="A19" s="1" t="s">
        <v>17</v>
      </c>
      <c r="B19" s="2">
        <v>0.07150944322347641</v>
      </c>
      <c r="C19" s="1">
        <v>12</v>
      </c>
      <c r="D19" s="1">
        <v>866</v>
      </c>
      <c r="E19" s="1">
        <v>854</v>
      </c>
      <c r="F19" s="1">
        <v>0</v>
      </c>
      <c r="G19" s="1">
        <v>12</v>
      </c>
      <c r="H19" s="1">
        <v>0</v>
      </c>
    </row>
    <row r="20" spans="1:8">
      <c r="A20" s="1" t="s">
        <v>18</v>
      </c>
      <c r="B20" s="2">
        <v>0.05363208428025246</v>
      </c>
      <c r="C20" s="1">
        <v>9</v>
      </c>
      <c r="D20" s="1">
        <v>125</v>
      </c>
      <c r="E20" s="1">
        <v>116</v>
      </c>
      <c r="F20" s="1">
        <v>0</v>
      </c>
      <c r="G20" s="1">
        <v>9</v>
      </c>
      <c r="H20" s="1">
        <v>0</v>
      </c>
    </row>
    <row r="21" spans="1:8">
      <c r="A21" s="1" t="s">
        <v>19</v>
      </c>
      <c r="B21" s="2">
        <v>0.02383648231625557</v>
      </c>
      <c r="C21" s="1">
        <v>4</v>
      </c>
      <c r="D21" s="1">
        <v>30</v>
      </c>
      <c r="E21" s="1">
        <v>2</v>
      </c>
      <c r="F21" s="1">
        <v>24</v>
      </c>
      <c r="G21" s="1">
        <v>4</v>
      </c>
      <c r="H21" s="1">
        <v>0</v>
      </c>
    </row>
    <row r="115" spans="1:8">
      <c r="A115" t="s">
        <v>114</v>
      </c>
      <c r="B115">
        <f>SUBTOTAL(109,[ram_percent])</f>
        <v>0</v>
      </c>
      <c r="C115">
        <f>SUBTOTAL(109,[ram])</f>
        <v>0</v>
      </c>
      <c r="D115">
        <f>SUBTOTAL(109,[flash])</f>
        <v>0</v>
      </c>
      <c r="E115">
        <f>SUBTOTAL(109,[Code])</f>
        <v>0</v>
      </c>
      <c r="F115">
        <f>SUBTOTAL(109,[RO_data])</f>
        <v>0</v>
      </c>
      <c r="G115">
        <f>SUBTOTAL(109,[RW_data])</f>
        <v>0</v>
      </c>
      <c r="H115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5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113</v>
      </c>
      <c r="B2" t="s">
        <v>122</v>
      </c>
      <c r="C2" t="s">
        <v>117</v>
      </c>
      <c r="D2" t="s">
        <v>116</v>
      </c>
      <c r="E2" t="s">
        <v>118</v>
      </c>
      <c r="F2" t="s">
        <v>119</v>
      </c>
      <c r="G2" t="s">
        <v>120</v>
      </c>
      <c r="H2" t="s">
        <v>121</v>
      </c>
    </row>
    <row r="3" spans="1:8">
      <c r="A3" s="1" t="s">
        <v>10</v>
      </c>
      <c r="B3" s="2">
        <v>10.88951396942139</v>
      </c>
      <c r="C3" s="1">
        <v>5613</v>
      </c>
      <c r="D3" s="1">
        <v>96</v>
      </c>
      <c r="E3" s="1">
        <v>5420</v>
      </c>
      <c r="F3" s="1">
        <v>193</v>
      </c>
      <c r="G3" s="1">
        <v>0</v>
      </c>
      <c r="H3" s="1">
        <v>96</v>
      </c>
    </row>
    <row r="4" spans="1:8">
      <c r="A4" s="1" t="s">
        <v>20</v>
      </c>
      <c r="B4" s="2">
        <v>9.38209342956543</v>
      </c>
      <c r="C4" s="1">
        <v>4836</v>
      </c>
      <c r="D4" s="1">
        <v>0</v>
      </c>
      <c r="E4" s="1">
        <v>36</v>
      </c>
      <c r="F4" s="1">
        <v>4800</v>
      </c>
      <c r="G4" s="1">
        <v>0</v>
      </c>
      <c r="H4" s="1">
        <v>0</v>
      </c>
    </row>
    <row r="5" spans="1:8">
      <c r="A5" s="1" t="s">
        <v>21</v>
      </c>
      <c r="B5" s="2">
        <v>8.039577484130859</v>
      </c>
      <c r="C5" s="1">
        <v>4144</v>
      </c>
      <c r="D5" s="1">
        <v>0</v>
      </c>
      <c r="E5" s="1">
        <v>4144</v>
      </c>
      <c r="F5" s="1">
        <v>0</v>
      </c>
      <c r="G5" s="1">
        <v>0</v>
      </c>
      <c r="H5" s="1">
        <v>0</v>
      </c>
    </row>
    <row r="6" spans="1:8">
      <c r="A6" s="1" t="s">
        <v>4</v>
      </c>
      <c r="B6" s="2">
        <v>6.347851276397705</v>
      </c>
      <c r="C6" s="1">
        <v>3272</v>
      </c>
      <c r="D6" s="1">
        <v>1280</v>
      </c>
      <c r="E6" s="1">
        <v>3212</v>
      </c>
      <c r="F6" s="1">
        <v>0</v>
      </c>
      <c r="G6" s="1">
        <v>60</v>
      </c>
      <c r="H6" s="1">
        <v>1220</v>
      </c>
    </row>
    <row r="7" spans="1:8">
      <c r="A7" s="1" t="s">
        <v>14</v>
      </c>
      <c r="B7" s="2">
        <v>5.792996406555176</v>
      </c>
      <c r="C7" s="1">
        <v>2986</v>
      </c>
      <c r="D7" s="1">
        <v>64</v>
      </c>
      <c r="E7" s="1">
        <v>2986</v>
      </c>
      <c r="F7" s="1">
        <v>0</v>
      </c>
      <c r="G7" s="1">
        <v>0</v>
      </c>
      <c r="H7" s="1">
        <v>64</v>
      </c>
    </row>
    <row r="8" spans="1:8">
      <c r="A8" s="1" t="s">
        <v>22</v>
      </c>
      <c r="B8" s="2">
        <v>4.279755592346191</v>
      </c>
      <c r="C8" s="1">
        <v>2206</v>
      </c>
      <c r="D8" s="1">
        <v>0</v>
      </c>
      <c r="E8" s="1">
        <v>2206</v>
      </c>
      <c r="F8" s="1">
        <v>0</v>
      </c>
      <c r="G8" s="1">
        <v>0</v>
      </c>
      <c r="H8" s="1">
        <v>0</v>
      </c>
    </row>
    <row r="9" spans="1:8">
      <c r="A9" s="1" t="s">
        <v>23</v>
      </c>
      <c r="B9" s="2">
        <v>3.755941390991211</v>
      </c>
      <c r="C9" s="1">
        <v>1936</v>
      </c>
      <c r="D9" s="1">
        <v>0</v>
      </c>
      <c r="E9" s="1">
        <v>1936</v>
      </c>
      <c r="F9" s="1">
        <v>0</v>
      </c>
      <c r="G9" s="1">
        <v>0</v>
      </c>
      <c r="H9" s="1">
        <v>0</v>
      </c>
    </row>
    <row r="10" spans="1:8">
      <c r="A10" s="1" t="s">
        <v>24</v>
      </c>
      <c r="B10" s="2">
        <v>3.558056116104126</v>
      </c>
      <c r="C10" s="1">
        <v>1834</v>
      </c>
      <c r="D10" s="1">
        <v>0</v>
      </c>
      <c r="E10" s="1">
        <v>1816</v>
      </c>
      <c r="F10" s="1">
        <v>18</v>
      </c>
      <c r="G10" s="1">
        <v>0</v>
      </c>
      <c r="H10" s="1">
        <v>0</v>
      </c>
    </row>
    <row r="11" spans="1:8">
      <c r="A11" s="1" t="s">
        <v>25</v>
      </c>
      <c r="B11" s="2">
        <v>2.937239408493042</v>
      </c>
      <c r="C11" s="1">
        <v>1514</v>
      </c>
      <c r="D11" s="1">
        <v>0</v>
      </c>
      <c r="E11" s="1">
        <v>1514</v>
      </c>
      <c r="F11" s="1">
        <v>0</v>
      </c>
      <c r="G11" s="1">
        <v>0</v>
      </c>
      <c r="H11" s="1">
        <v>0</v>
      </c>
    </row>
    <row r="12" spans="1:8">
      <c r="A12" s="1" t="s">
        <v>26</v>
      </c>
      <c r="B12" s="2">
        <v>2.770394802093506</v>
      </c>
      <c r="C12" s="1">
        <v>1428</v>
      </c>
      <c r="D12" s="1">
        <v>0</v>
      </c>
      <c r="E12" s="1">
        <v>1428</v>
      </c>
      <c r="F12" s="1">
        <v>0</v>
      </c>
      <c r="G12" s="1">
        <v>0</v>
      </c>
      <c r="H12" s="1">
        <v>0</v>
      </c>
    </row>
    <row r="13" spans="1:8">
      <c r="A13" s="1" t="s">
        <v>15</v>
      </c>
      <c r="B13" s="2">
        <v>2.766514778137207</v>
      </c>
      <c r="C13" s="1">
        <v>1426</v>
      </c>
      <c r="D13" s="1">
        <v>60</v>
      </c>
      <c r="E13" s="1">
        <v>1110</v>
      </c>
      <c r="F13" s="1">
        <v>256</v>
      </c>
      <c r="G13" s="1">
        <v>60</v>
      </c>
      <c r="H13" s="1">
        <v>0</v>
      </c>
    </row>
    <row r="14" spans="1:8">
      <c r="A14" s="1" t="s">
        <v>7</v>
      </c>
      <c r="B14" s="2">
        <v>2.595790147781372</v>
      </c>
      <c r="C14" s="1">
        <v>1338</v>
      </c>
      <c r="D14" s="1">
        <v>300</v>
      </c>
      <c r="E14" s="1">
        <v>1318</v>
      </c>
      <c r="F14" s="1">
        <v>0</v>
      </c>
      <c r="G14" s="1">
        <v>20</v>
      </c>
      <c r="H14" s="1">
        <v>280</v>
      </c>
    </row>
    <row r="15" spans="1:8">
      <c r="A15" s="1" t="s">
        <v>27</v>
      </c>
      <c r="B15" s="2">
        <v>2.044815301895142</v>
      </c>
      <c r="C15" s="1">
        <v>1054</v>
      </c>
      <c r="D15" s="1">
        <v>0</v>
      </c>
      <c r="E15" s="1">
        <v>1054</v>
      </c>
      <c r="F15" s="1">
        <v>0</v>
      </c>
      <c r="G15" s="1">
        <v>0</v>
      </c>
      <c r="H15" s="1">
        <v>0</v>
      </c>
    </row>
    <row r="16" spans="1:8">
      <c r="A16" s="1" t="s">
        <v>16</v>
      </c>
      <c r="B16" s="2">
        <v>1.928412079811096</v>
      </c>
      <c r="C16" s="1">
        <v>994</v>
      </c>
      <c r="D16" s="1">
        <v>20</v>
      </c>
      <c r="E16" s="1">
        <v>762</v>
      </c>
      <c r="F16" s="1">
        <v>212</v>
      </c>
      <c r="G16" s="1">
        <v>20</v>
      </c>
      <c r="H16" s="1">
        <v>0</v>
      </c>
    </row>
    <row r="17" spans="1:8">
      <c r="A17" s="1" t="s">
        <v>17</v>
      </c>
      <c r="B17" s="2">
        <v>1.680085420608521</v>
      </c>
      <c r="C17" s="1">
        <v>866</v>
      </c>
      <c r="D17" s="1">
        <v>12</v>
      </c>
      <c r="E17" s="1">
        <v>854</v>
      </c>
      <c r="F17" s="1">
        <v>0</v>
      </c>
      <c r="G17" s="1">
        <v>12</v>
      </c>
      <c r="H17" s="1">
        <v>0</v>
      </c>
    </row>
    <row r="18" spans="1:8">
      <c r="A18" s="1" t="s">
        <v>6</v>
      </c>
      <c r="B18" s="2">
        <v>1.652924656867981</v>
      </c>
      <c r="C18" s="1">
        <v>852</v>
      </c>
      <c r="D18" s="1">
        <v>348</v>
      </c>
      <c r="E18" s="1">
        <v>756</v>
      </c>
      <c r="F18" s="1">
        <v>0</v>
      </c>
      <c r="G18" s="1">
        <v>96</v>
      </c>
      <c r="H18" s="1">
        <v>252</v>
      </c>
    </row>
    <row r="19" spans="1:8">
      <c r="A19" s="1" t="s">
        <v>5</v>
      </c>
      <c r="B19" s="2">
        <v>1.633524060249329</v>
      </c>
      <c r="C19" s="1">
        <v>842</v>
      </c>
      <c r="D19" s="1">
        <v>560</v>
      </c>
      <c r="E19" s="1">
        <v>834</v>
      </c>
      <c r="F19" s="1">
        <v>0</v>
      </c>
      <c r="G19" s="1">
        <v>8</v>
      </c>
      <c r="H19" s="1">
        <v>552</v>
      </c>
    </row>
    <row r="20" spans="1:8">
      <c r="A20" s="1" t="s">
        <v>28</v>
      </c>
      <c r="B20" s="2">
        <v>1.575322508811951</v>
      </c>
      <c r="C20" s="1">
        <v>812</v>
      </c>
      <c r="D20" s="1">
        <v>0</v>
      </c>
      <c r="E20" s="1">
        <v>812</v>
      </c>
      <c r="F20" s="1">
        <v>0</v>
      </c>
      <c r="G20" s="1">
        <v>0</v>
      </c>
      <c r="H20" s="1">
        <v>0</v>
      </c>
    </row>
    <row r="21" spans="1:8">
      <c r="A21" s="1" t="s">
        <v>29</v>
      </c>
      <c r="B21" s="2">
        <v>1.559802055358887</v>
      </c>
      <c r="C21" s="1">
        <v>804</v>
      </c>
      <c r="D21" s="1">
        <v>0</v>
      </c>
      <c r="E21" s="1">
        <v>804</v>
      </c>
      <c r="F21" s="1">
        <v>0</v>
      </c>
      <c r="G21" s="1">
        <v>0</v>
      </c>
      <c r="H21" s="1">
        <v>0</v>
      </c>
    </row>
    <row r="22" spans="1:8">
      <c r="A22" s="1" t="s">
        <v>30</v>
      </c>
      <c r="B22" s="2">
        <v>1.555922031402588</v>
      </c>
      <c r="C22" s="1">
        <v>802</v>
      </c>
      <c r="D22" s="1">
        <v>0</v>
      </c>
      <c r="E22" s="1">
        <v>802</v>
      </c>
      <c r="F22" s="1">
        <v>0</v>
      </c>
      <c r="G22" s="1">
        <v>0</v>
      </c>
      <c r="H22" s="1">
        <v>0</v>
      </c>
    </row>
    <row r="23" spans="1:8">
      <c r="A23" s="1" t="s">
        <v>1</v>
      </c>
      <c r="B23" s="2">
        <v>1.466679573059082</v>
      </c>
      <c r="C23" s="1">
        <v>756</v>
      </c>
      <c r="D23" s="1">
        <v>10272</v>
      </c>
      <c r="E23" s="1">
        <v>724</v>
      </c>
      <c r="F23" s="1">
        <v>0</v>
      </c>
      <c r="G23" s="1">
        <v>32</v>
      </c>
      <c r="H23" s="1">
        <v>10240</v>
      </c>
    </row>
    <row r="24" spans="1:8">
      <c r="A24" s="1" t="s">
        <v>8</v>
      </c>
      <c r="B24" s="2">
        <v>1.458919405937195</v>
      </c>
      <c r="C24" s="1">
        <v>752</v>
      </c>
      <c r="D24" s="1">
        <v>144</v>
      </c>
      <c r="E24" s="1">
        <v>752</v>
      </c>
      <c r="F24" s="1">
        <v>0</v>
      </c>
      <c r="G24" s="1">
        <v>0</v>
      </c>
      <c r="H24" s="1">
        <v>144</v>
      </c>
    </row>
    <row r="25" spans="1:8">
      <c r="A25" s="1" t="s">
        <v>31</v>
      </c>
      <c r="B25" s="2">
        <v>1.334756016731262</v>
      </c>
      <c r="C25" s="1">
        <v>688</v>
      </c>
      <c r="D25" s="1">
        <v>0</v>
      </c>
      <c r="E25" s="1">
        <v>688</v>
      </c>
      <c r="F25" s="1">
        <v>0</v>
      </c>
      <c r="G25" s="1">
        <v>0</v>
      </c>
      <c r="H25" s="1">
        <v>0</v>
      </c>
    </row>
    <row r="26" spans="1:8">
      <c r="A26" s="1" t="s">
        <v>2</v>
      </c>
      <c r="B26" s="2">
        <v>1.237753391265869</v>
      </c>
      <c r="C26" s="1">
        <v>638</v>
      </c>
      <c r="D26" s="1">
        <v>1724</v>
      </c>
      <c r="E26" s="1">
        <v>634</v>
      </c>
      <c r="F26" s="1">
        <v>0</v>
      </c>
      <c r="G26" s="1">
        <v>4</v>
      </c>
      <c r="H26" s="1">
        <v>1720</v>
      </c>
    </row>
    <row r="27" spans="1:8">
      <c r="A27" s="1" t="s">
        <v>32</v>
      </c>
      <c r="B27" s="2">
        <v>1.113590121269226</v>
      </c>
      <c r="C27" s="1">
        <v>574</v>
      </c>
      <c r="D27" s="1">
        <v>0</v>
      </c>
      <c r="E27" s="1">
        <v>556</v>
      </c>
      <c r="F27" s="1">
        <v>18</v>
      </c>
      <c r="G27" s="1">
        <v>0</v>
      </c>
      <c r="H27" s="1">
        <v>0</v>
      </c>
    </row>
    <row r="28" spans="1:8">
      <c r="A28" s="1" t="s">
        <v>33</v>
      </c>
      <c r="B28" s="2">
        <v>0.8730235695838928</v>
      </c>
      <c r="C28" s="1">
        <v>450</v>
      </c>
      <c r="D28" s="1">
        <v>0</v>
      </c>
      <c r="E28" s="1">
        <v>450</v>
      </c>
      <c r="F28" s="1">
        <v>0</v>
      </c>
      <c r="G28" s="1">
        <v>0</v>
      </c>
      <c r="H28" s="1">
        <v>0</v>
      </c>
    </row>
    <row r="29" spans="1:8">
      <c r="A29" s="1" t="s">
        <v>9</v>
      </c>
      <c r="B29" s="2">
        <v>0.8225821852684021</v>
      </c>
      <c r="C29" s="1">
        <v>424</v>
      </c>
      <c r="D29" s="1">
        <v>116</v>
      </c>
      <c r="E29" s="1">
        <v>424</v>
      </c>
      <c r="F29" s="1">
        <v>0</v>
      </c>
      <c r="G29" s="1">
        <v>0</v>
      </c>
      <c r="H29" s="1">
        <v>116</v>
      </c>
    </row>
    <row r="30" spans="1:8">
      <c r="A30" s="1" t="s">
        <v>34</v>
      </c>
      <c r="B30" s="2">
        <v>0.7527403235435486</v>
      </c>
      <c r="C30" s="1">
        <v>388</v>
      </c>
      <c r="D30" s="1">
        <v>0</v>
      </c>
      <c r="E30" s="1">
        <v>388</v>
      </c>
      <c r="F30" s="1">
        <v>0</v>
      </c>
      <c r="G30" s="1">
        <v>0</v>
      </c>
      <c r="H30" s="1">
        <v>0</v>
      </c>
    </row>
    <row r="31" spans="1:8">
      <c r="A31" s="1" t="s">
        <v>35</v>
      </c>
      <c r="B31" s="2">
        <v>0.7294597029685974</v>
      </c>
      <c r="C31" s="1">
        <v>376</v>
      </c>
      <c r="D31" s="1">
        <v>0</v>
      </c>
      <c r="E31" s="1">
        <v>228</v>
      </c>
      <c r="F31" s="1">
        <v>148</v>
      </c>
      <c r="G31" s="1">
        <v>0</v>
      </c>
      <c r="H31" s="1">
        <v>0</v>
      </c>
    </row>
    <row r="32" spans="1:8">
      <c r="A32" s="1" t="s">
        <v>13</v>
      </c>
      <c r="B32" s="2">
        <v>0.6828984618186951</v>
      </c>
      <c r="C32" s="1">
        <v>352</v>
      </c>
      <c r="D32" s="1">
        <v>68</v>
      </c>
      <c r="E32" s="1">
        <v>344</v>
      </c>
      <c r="F32" s="1">
        <v>0</v>
      </c>
      <c r="G32" s="1">
        <v>8</v>
      </c>
      <c r="H32" s="1">
        <v>60</v>
      </c>
    </row>
    <row r="33" spans="1:8">
      <c r="A33" s="1" t="s">
        <v>36</v>
      </c>
      <c r="B33" s="2">
        <v>0.6596177816390991</v>
      </c>
      <c r="C33" s="1">
        <v>340</v>
      </c>
      <c r="D33" s="1">
        <v>0</v>
      </c>
      <c r="E33" s="1">
        <v>340</v>
      </c>
      <c r="F33" s="1">
        <v>0</v>
      </c>
      <c r="G33" s="1">
        <v>0</v>
      </c>
      <c r="H33" s="1">
        <v>0</v>
      </c>
    </row>
    <row r="34" spans="1:8">
      <c r="A34" s="1" t="s">
        <v>37</v>
      </c>
      <c r="B34" s="2">
        <v>0.6382772326469421</v>
      </c>
      <c r="C34" s="1">
        <v>329</v>
      </c>
      <c r="D34" s="1">
        <v>0</v>
      </c>
      <c r="E34" s="1">
        <v>312</v>
      </c>
      <c r="F34" s="1">
        <v>17</v>
      </c>
      <c r="G34" s="1">
        <v>0</v>
      </c>
      <c r="H34" s="1">
        <v>0</v>
      </c>
    </row>
    <row r="35" spans="1:8">
      <c r="A35" s="1" t="s">
        <v>3</v>
      </c>
      <c r="B35" s="2">
        <v>0.5820156931877136</v>
      </c>
      <c r="C35" s="1">
        <v>300</v>
      </c>
      <c r="D35" s="1">
        <v>1536</v>
      </c>
      <c r="E35" s="1">
        <v>64</v>
      </c>
      <c r="F35" s="1">
        <v>236</v>
      </c>
      <c r="G35" s="1">
        <v>0</v>
      </c>
      <c r="H35" s="1">
        <v>1536</v>
      </c>
    </row>
    <row r="36" spans="1:8">
      <c r="A36" s="1" t="s">
        <v>38</v>
      </c>
      <c r="B36" s="2">
        <v>0.5548549890518189</v>
      </c>
      <c r="C36" s="1">
        <v>286</v>
      </c>
      <c r="D36" s="1">
        <v>0</v>
      </c>
      <c r="E36" s="1">
        <v>286</v>
      </c>
      <c r="F36" s="1">
        <v>0</v>
      </c>
      <c r="G36" s="1">
        <v>0</v>
      </c>
      <c r="H36" s="1">
        <v>0</v>
      </c>
    </row>
    <row r="37" spans="1:8">
      <c r="A37" s="1" t="s">
        <v>39</v>
      </c>
      <c r="B37" s="2">
        <v>0.5509749054908752</v>
      </c>
      <c r="C37" s="1">
        <v>284</v>
      </c>
      <c r="D37" s="1">
        <v>0</v>
      </c>
      <c r="E37" s="1">
        <v>284</v>
      </c>
      <c r="F37" s="1">
        <v>0</v>
      </c>
      <c r="G37" s="1">
        <v>0</v>
      </c>
      <c r="H37" s="1">
        <v>0</v>
      </c>
    </row>
    <row r="38" spans="1:8">
      <c r="A38" s="1" t="s">
        <v>40</v>
      </c>
      <c r="B38" s="2">
        <v>0.5005335211753845</v>
      </c>
      <c r="C38" s="1">
        <v>258</v>
      </c>
      <c r="D38" s="1">
        <v>0</v>
      </c>
      <c r="E38" s="1">
        <v>258</v>
      </c>
      <c r="F38" s="1">
        <v>0</v>
      </c>
      <c r="G38" s="1">
        <v>0</v>
      </c>
      <c r="H38" s="1">
        <v>0</v>
      </c>
    </row>
    <row r="39" spans="1:8">
      <c r="A39" s="1" t="s">
        <v>41</v>
      </c>
      <c r="B39" s="2">
        <v>0.4888932108879089</v>
      </c>
      <c r="C39" s="1">
        <v>252</v>
      </c>
      <c r="D39" s="1">
        <v>0</v>
      </c>
      <c r="E39" s="1">
        <v>252</v>
      </c>
      <c r="F39" s="1">
        <v>0</v>
      </c>
      <c r="G39" s="1">
        <v>0</v>
      </c>
      <c r="H39" s="1">
        <v>0</v>
      </c>
    </row>
    <row r="40" spans="1:8">
      <c r="A40" s="1" t="s">
        <v>42</v>
      </c>
      <c r="B40" s="2">
        <v>0.4888932108879089</v>
      </c>
      <c r="C40" s="1">
        <v>252</v>
      </c>
      <c r="D40" s="1">
        <v>0</v>
      </c>
      <c r="E40" s="1">
        <v>252</v>
      </c>
      <c r="F40" s="1">
        <v>0</v>
      </c>
      <c r="G40" s="1">
        <v>0</v>
      </c>
      <c r="H40" s="1">
        <v>0</v>
      </c>
    </row>
    <row r="41" spans="1:8">
      <c r="A41" s="1" t="s">
        <v>12</v>
      </c>
      <c r="B41" s="2">
        <v>0.3492094278335571</v>
      </c>
      <c r="C41" s="1">
        <v>180</v>
      </c>
      <c r="D41" s="1">
        <v>72</v>
      </c>
      <c r="E41" s="1">
        <v>180</v>
      </c>
      <c r="F41" s="1">
        <v>0</v>
      </c>
      <c r="G41" s="1">
        <v>0</v>
      </c>
      <c r="H41" s="1">
        <v>72</v>
      </c>
    </row>
    <row r="42" spans="1:8">
      <c r="A42" s="1" t="s">
        <v>43</v>
      </c>
      <c r="B42" s="2">
        <v>0.3026481568813324</v>
      </c>
      <c r="C42" s="1">
        <v>156</v>
      </c>
      <c r="D42" s="1">
        <v>0</v>
      </c>
      <c r="E42" s="1">
        <v>156</v>
      </c>
      <c r="F42" s="1">
        <v>0</v>
      </c>
      <c r="G42" s="1">
        <v>0</v>
      </c>
      <c r="H42" s="1">
        <v>0</v>
      </c>
    </row>
    <row r="43" spans="1:8">
      <c r="A43" s="1" t="s">
        <v>44</v>
      </c>
      <c r="B43" s="2">
        <v>0.2871277630329132</v>
      </c>
      <c r="C43" s="1">
        <v>148</v>
      </c>
      <c r="D43" s="1">
        <v>0</v>
      </c>
      <c r="E43" s="1">
        <v>148</v>
      </c>
      <c r="F43" s="1">
        <v>0</v>
      </c>
      <c r="G43" s="1">
        <v>0</v>
      </c>
      <c r="H43" s="1">
        <v>0</v>
      </c>
    </row>
    <row r="44" spans="1:8">
      <c r="A44" s="1" t="s">
        <v>45</v>
      </c>
      <c r="B44" s="2">
        <v>0.2754874527454376</v>
      </c>
      <c r="C44" s="1">
        <v>142</v>
      </c>
      <c r="D44" s="1">
        <v>0</v>
      </c>
      <c r="E44" s="1">
        <v>142</v>
      </c>
      <c r="F44" s="1">
        <v>0</v>
      </c>
      <c r="G44" s="1">
        <v>0</v>
      </c>
      <c r="H44" s="1">
        <v>0</v>
      </c>
    </row>
    <row r="45" spans="1:8">
      <c r="A45" s="1" t="s">
        <v>46</v>
      </c>
      <c r="B45" s="2">
        <v>0.2716073393821716</v>
      </c>
      <c r="C45" s="1">
        <v>140</v>
      </c>
      <c r="D45" s="1">
        <v>0</v>
      </c>
      <c r="E45" s="1">
        <v>140</v>
      </c>
      <c r="F45" s="1">
        <v>0</v>
      </c>
      <c r="G45" s="1">
        <v>0</v>
      </c>
      <c r="H45" s="1">
        <v>0</v>
      </c>
    </row>
    <row r="46" spans="1:8">
      <c r="A46" s="1" t="s">
        <v>47</v>
      </c>
      <c r="B46" s="2">
        <v>0.2716073393821716</v>
      </c>
      <c r="C46" s="1">
        <v>140</v>
      </c>
      <c r="D46" s="1">
        <v>0</v>
      </c>
      <c r="E46" s="1">
        <v>140</v>
      </c>
      <c r="F46" s="1">
        <v>0</v>
      </c>
      <c r="G46" s="1">
        <v>0</v>
      </c>
      <c r="H46" s="1">
        <v>0</v>
      </c>
    </row>
    <row r="47" spans="1:8">
      <c r="A47" s="1" t="s">
        <v>48</v>
      </c>
      <c r="B47" s="2">
        <v>0.2677272260189056</v>
      </c>
      <c r="C47" s="1">
        <v>138</v>
      </c>
      <c r="D47" s="1">
        <v>0</v>
      </c>
      <c r="E47" s="1">
        <v>138</v>
      </c>
      <c r="F47" s="1">
        <v>0</v>
      </c>
      <c r="G47" s="1">
        <v>0</v>
      </c>
      <c r="H47" s="1">
        <v>0</v>
      </c>
    </row>
    <row r="48" spans="1:8">
      <c r="A48" s="1" t="s">
        <v>49</v>
      </c>
      <c r="B48" s="2">
        <v>0.2677272260189056</v>
      </c>
      <c r="C48" s="1">
        <v>138</v>
      </c>
      <c r="D48" s="1">
        <v>0</v>
      </c>
      <c r="E48" s="1">
        <v>138</v>
      </c>
      <c r="F48" s="1">
        <v>0</v>
      </c>
      <c r="G48" s="1">
        <v>0</v>
      </c>
      <c r="H48" s="1">
        <v>0</v>
      </c>
    </row>
    <row r="49" spans="1:8">
      <c r="A49" s="1" t="s">
        <v>50</v>
      </c>
      <c r="B49" s="2">
        <v>0.2677272260189056</v>
      </c>
      <c r="C49" s="1">
        <v>138</v>
      </c>
      <c r="D49" s="1">
        <v>0</v>
      </c>
      <c r="E49" s="1">
        <v>138</v>
      </c>
      <c r="F49" s="1">
        <v>0</v>
      </c>
      <c r="G49" s="1">
        <v>0</v>
      </c>
      <c r="H49" s="1">
        <v>0</v>
      </c>
    </row>
    <row r="50" spans="1:8">
      <c r="A50" s="1" t="s">
        <v>51</v>
      </c>
      <c r="B50" s="2">
        <v>0.2483267039060593</v>
      </c>
      <c r="C50" s="1">
        <v>128</v>
      </c>
      <c r="D50" s="1">
        <v>0</v>
      </c>
      <c r="E50" s="1">
        <v>128</v>
      </c>
      <c r="F50" s="1">
        <v>0</v>
      </c>
      <c r="G50" s="1">
        <v>0</v>
      </c>
      <c r="H50" s="1">
        <v>0</v>
      </c>
    </row>
    <row r="51" spans="1:8">
      <c r="A51" s="1" t="s">
        <v>52</v>
      </c>
      <c r="B51" s="2">
        <v>0.2483267039060593</v>
      </c>
      <c r="C51" s="1">
        <v>128</v>
      </c>
      <c r="D51" s="1">
        <v>0</v>
      </c>
      <c r="E51" s="1">
        <v>128</v>
      </c>
      <c r="F51" s="1">
        <v>0</v>
      </c>
      <c r="G51" s="1">
        <v>0</v>
      </c>
      <c r="H51" s="1">
        <v>0</v>
      </c>
    </row>
    <row r="52" spans="1:8">
      <c r="A52" s="1" t="s">
        <v>18</v>
      </c>
      <c r="B52" s="2">
        <v>0.2425065487623215</v>
      </c>
      <c r="C52" s="1">
        <v>125</v>
      </c>
      <c r="D52" s="1">
        <v>9</v>
      </c>
      <c r="E52" s="1">
        <v>116</v>
      </c>
      <c r="F52" s="1">
        <v>0</v>
      </c>
      <c r="G52" s="1">
        <v>9</v>
      </c>
      <c r="H52" s="1">
        <v>0</v>
      </c>
    </row>
    <row r="53" spans="1:8">
      <c r="A53" s="1" t="s">
        <v>53</v>
      </c>
      <c r="B53" s="2">
        <v>0.2328062802553177</v>
      </c>
      <c r="C53" s="1">
        <v>120</v>
      </c>
      <c r="D53" s="1">
        <v>0</v>
      </c>
      <c r="E53" s="1">
        <v>120</v>
      </c>
      <c r="F53" s="1">
        <v>0</v>
      </c>
      <c r="G53" s="1">
        <v>0</v>
      </c>
      <c r="H53" s="1">
        <v>0</v>
      </c>
    </row>
    <row r="54" spans="1:8">
      <c r="A54" s="1" t="s">
        <v>54</v>
      </c>
      <c r="B54" s="2">
        <v>0.2328062802553177</v>
      </c>
      <c r="C54" s="1">
        <v>120</v>
      </c>
      <c r="D54" s="1">
        <v>0</v>
      </c>
      <c r="E54" s="1">
        <v>120</v>
      </c>
      <c r="F54" s="1">
        <v>0</v>
      </c>
      <c r="G54" s="1">
        <v>0</v>
      </c>
      <c r="H54" s="1">
        <v>0</v>
      </c>
    </row>
    <row r="55" spans="1:8">
      <c r="A55" s="1" t="s">
        <v>55</v>
      </c>
      <c r="B55" s="2">
        <v>0.2017654478549957</v>
      </c>
      <c r="C55" s="1">
        <v>104</v>
      </c>
      <c r="D55" s="1">
        <v>0</v>
      </c>
      <c r="E55" s="1">
        <v>104</v>
      </c>
      <c r="F55" s="1">
        <v>0</v>
      </c>
      <c r="G55" s="1">
        <v>0</v>
      </c>
      <c r="H55" s="1">
        <v>0</v>
      </c>
    </row>
    <row r="56" spans="1:8">
      <c r="A56" s="1" t="s">
        <v>56</v>
      </c>
      <c r="B56" s="2">
        <v>0.2017654478549957</v>
      </c>
      <c r="C56" s="1">
        <v>104</v>
      </c>
      <c r="D56" s="1">
        <v>0</v>
      </c>
      <c r="E56" s="1">
        <v>104</v>
      </c>
      <c r="F56" s="1">
        <v>0</v>
      </c>
      <c r="G56" s="1">
        <v>0</v>
      </c>
      <c r="H56" s="1">
        <v>0</v>
      </c>
    </row>
    <row r="57" spans="1:8">
      <c r="A57" s="1" t="s">
        <v>57</v>
      </c>
      <c r="B57" s="2">
        <v>0.1978853493928909</v>
      </c>
      <c r="C57" s="1">
        <v>102</v>
      </c>
      <c r="D57" s="1">
        <v>0</v>
      </c>
      <c r="E57" s="1">
        <v>102</v>
      </c>
      <c r="F57" s="1">
        <v>0</v>
      </c>
      <c r="G57" s="1">
        <v>0</v>
      </c>
      <c r="H57" s="1">
        <v>0</v>
      </c>
    </row>
    <row r="58" spans="1:8">
      <c r="A58" s="1" t="s">
        <v>58</v>
      </c>
      <c r="B58" s="2">
        <v>0.1940052360296249</v>
      </c>
      <c r="C58" s="1">
        <v>100</v>
      </c>
      <c r="D58" s="1">
        <v>0</v>
      </c>
      <c r="E58" s="1">
        <v>100</v>
      </c>
      <c r="F58" s="1">
        <v>0</v>
      </c>
      <c r="G58" s="1">
        <v>0</v>
      </c>
      <c r="H58" s="1">
        <v>0</v>
      </c>
    </row>
    <row r="59" spans="1:8">
      <c r="A59" s="1" t="s">
        <v>59</v>
      </c>
      <c r="B59" s="2">
        <v>0.1940052360296249</v>
      </c>
      <c r="C59" s="1">
        <v>100</v>
      </c>
      <c r="D59" s="1">
        <v>0</v>
      </c>
      <c r="E59" s="1">
        <v>100</v>
      </c>
      <c r="F59" s="1">
        <v>0</v>
      </c>
      <c r="G59" s="1">
        <v>0</v>
      </c>
      <c r="H59" s="1">
        <v>0</v>
      </c>
    </row>
    <row r="60" spans="1:8">
      <c r="A60" s="1" t="s">
        <v>60</v>
      </c>
      <c r="B60" s="2">
        <v>0.1901251375675201</v>
      </c>
      <c r="C60" s="1">
        <v>98</v>
      </c>
      <c r="D60" s="1">
        <v>0</v>
      </c>
      <c r="E60" s="1">
        <v>98</v>
      </c>
      <c r="F60" s="1">
        <v>0</v>
      </c>
      <c r="G60" s="1">
        <v>0</v>
      </c>
      <c r="H60" s="1">
        <v>0</v>
      </c>
    </row>
    <row r="61" spans="1:8">
      <c r="A61" s="1" t="s">
        <v>61</v>
      </c>
      <c r="B61" s="2">
        <v>0.1862450242042542</v>
      </c>
      <c r="C61" s="1">
        <v>96</v>
      </c>
      <c r="D61" s="1">
        <v>0</v>
      </c>
      <c r="E61" s="1">
        <v>96</v>
      </c>
      <c r="F61" s="1">
        <v>0</v>
      </c>
      <c r="G61" s="1">
        <v>0</v>
      </c>
      <c r="H61" s="1">
        <v>0</v>
      </c>
    </row>
    <row r="62" spans="1:8">
      <c r="A62" s="1" t="s">
        <v>62</v>
      </c>
      <c r="B62" s="2">
        <v>0.1823649257421494</v>
      </c>
      <c r="C62" s="1">
        <v>94</v>
      </c>
      <c r="D62" s="1">
        <v>0</v>
      </c>
      <c r="E62" s="1">
        <v>94</v>
      </c>
      <c r="F62" s="1">
        <v>0</v>
      </c>
      <c r="G62" s="1">
        <v>0</v>
      </c>
      <c r="H62" s="1">
        <v>0</v>
      </c>
    </row>
    <row r="63" spans="1:8">
      <c r="A63" s="1" t="s">
        <v>63</v>
      </c>
      <c r="B63" s="2">
        <v>0.1746047139167786</v>
      </c>
      <c r="C63" s="1">
        <v>90</v>
      </c>
      <c r="D63" s="1">
        <v>0</v>
      </c>
      <c r="E63" s="1">
        <v>90</v>
      </c>
      <c r="F63" s="1">
        <v>0</v>
      </c>
      <c r="G63" s="1">
        <v>0</v>
      </c>
      <c r="H63" s="1">
        <v>0</v>
      </c>
    </row>
    <row r="64" spans="1:8">
      <c r="A64" s="1" t="s">
        <v>64</v>
      </c>
      <c r="B64" s="2">
        <v>0.1668445020914078</v>
      </c>
      <c r="C64" s="1">
        <v>86</v>
      </c>
      <c r="D64" s="1">
        <v>0</v>
      </c>
      <c r="E64" s="1">
        <v>86</v>
      </c>
      <c r="F64" s="1">
        <v>0</v>
      </c>
      <c r="G64" s="1">
        <v>0</v>
      </c>
      <c r="H64" s="1">
        <v>0</v>
      </c>
    </row>
    <row r="65" spans="1:8">
      <c r="A65" s="1" t="s">
        <v>65</v>
      </c>
      <c r="B65" s="2">
        <v>0.1552041918039322</v>
      </c>
      <c r="C65" s="1">
        <v>80</v>
      </c>
      <c r="D65" s="1">
        <v>0</v>
      </c>
      <c r="E65" s="1">
        <v>80</v>
      </c>
      <c r="F65" s="1">
        <v>0</v>
      </c>
      <c r="G65" s="1">
        <v>0</v>
      </c>
      <c r="H65" s="1">
        <v>0</v>
      </c>
    </row>
    <row r="66" spans="1:8">
      <c r="A66" s="1" t="s">
        <v>66</v>
      </c>
      <c r="B66" s="2">
        <v>0.1513240784406662</v>
      </c>
      <c r="C66" s="1">
        <v>78</v>
      </c>
      <c r="D66" s="1">
        <v>0</v>
      </c>
      <c r="E66" s="1">
        <v>78</v>
      </c>
      <c r="F66" s="1">
        <v>0</v>
      </c>
      <c r="G66" s="1">
        <v>0</v>
      </c>
      <c r="H66" s="1">
        <v>0</v>
      </c>
    </row>
    <row r="67" spans="1:8">
      <c r="A67" s="1" t="s">
        <v>67</v>
      </c>
      <c r="B67" s="2">
        <v>0.1513240784406662</v>
      </c>
      <c r="C67" s="1">
        <v>78</v>
      </c>
      <c r="D67" s="1">
        <v>0</v>
      </c>
      <c r="E67" s="1">
        <v>78</v>
      </c>
      <c r="F67" s="1">
        <v>0</v>
      </c>
      <c r="G67" s="1">
        <v>0</v>
      </c>
      <c r="H67" s="1">
        <v>0</v>
      </c>
    </row>
    <row r="68" spans="1:8">
      <c r="A68" s="1" t="s">
        <v>68</v>
      </c>
      <c r="B68" s="2">
        <v>0.1435638815164566</v>
      </c>
      <c r="C68" s="1">
        <v>74</v>
      </c>
      <c r="D68" s="1">
        <v>0</v>
      </c>
      <c r="E68" s="1">
        <v>74</v>
      </c>
      <c r="F68" s="1">
        <v>0</v>
      </c>
      <c r="G68" s="1">
        <v>0</v>
      </c>
      <c r="H68" s="1">
        <v>0</v>
      </c>
    </row>
    <row r="69" spans="1:8">
      <c r="A69" s="1" t="s">
        <v>69</v>
      </c>
      <c r="B69" s="2">
        <v>0.1396837681531906</v>
      </c>
      <c r="C69" s="1">
        <v>72</v>
      </c>
      <c r="D69" s="1">
        <v>0</v>
      </c>
      <c r="E69" s="1">
        <v>44</v>
      </c>
      <c r="F69" s="1">
        <v>28</v>
      </c>
      <c r="G69" s="1">
        <v>0</v>
      </c>
      <c r="H69" s="1">
        <v>0</v>
      </c>
    </row>
    <row r="70" spans="1:8">
      <c r="A70" s="1" t="s">
        <v>70</v>
      </c>
      <c r="B70" s="2">
        <v>0.1319235563278198</v>
      </c>
      <c r="C70" s="1">
        <v>68</v>
      </c>
      <c r="D70" s="1">
        <v>0</v>
      </c>
      <c r="E70" s="1">
        <v>68</v>
      </c>
      <c r="F70" s="1">
        <v>0</v>
      </c>
      <c r="G70" s="1">
        <v>0</v>
      </c>
      <c r="H70" s="1">
        <v>0</v>
      </c>
    </row>
    <row r="71" spans="1:8">
      <c r="A71" s="1" t="s">
        <v>71</v>
      </c>
      <c r="B71" s="2">
        <v>0.1202832460403442</v>
      </c>
      <c r="C71" s="1">
        <v>62</v>
      </c>
      <c r="D71" s="1">
        <v>0</v>
      </c>
      <c r="E71" s="1">
        <v>62</v>
      </c>
      <c r="F71" s="1">
        <v>0</v>
      </c>
      <c r="G71" s="1">
        <v>0</v>
      </c>
      <c r="H71" s="1">
        <v>0</v>
      </c>
    </row>
    <row r="72" spans="1:8">
      <c r="A72" s="1" t="s">
        <v>72</v>
      </c>
      <c r="B72" s="2">
        <v>0.1047628298401833</v>
      </c>
      <c r="C72" s="1">
        <v>54</v>
      </c>
      <c r="D72" s="1">
        <v>0</v>
      </c>
      <c r="E72" s="1">
        <v>54</v>
      </c>
      <c r="F72" s="1">
        <v>0</v>
      </c>
      <c r="G72" s="1">
        <v>0</v>
      </c>
      <c r="H72" s="1">
        <v>0</v>
      </c>
    </row>
    <row r="73" spans="1:8">
      <c r="A73" s="1" t="s">
        <v>73</v>
      </c>
      <c r="B73" s="2">
        <v>0.1008827239274979</v>
      </c>
      <c r="C73" s="1">
        <v>52</v>
      </c>
      <c r="D73" s="1">
        <v>0</v>
      </c>
      <c r="E73" s="1">
        <v>52</v>
      </c>
      <c r="F73" s="1">
        <v>0</v>
      </c>
      <c r="G73" s="1">
        <v>0</v>
      </c>
      <c r="H73" s="1">
        <v>0</v>
      </c>
    </row>
    <row r="74" spans="1:8">
      <c r="A74" s="1" t="s">
        <v>74</v>
      </c>
      <c r="B74" s="2">
        <v>0.1008827239274979</v>
      </c>
      <c r="C74" s="1">
        <v>52</v>
      </c>
      <c r="D74" s="1">
        <v>0</v>
      </c>
      <c r="E74" s="1">
        <v>52</v>
      </c>
      <c r="F74" s="1">
        <v>0</v>
      </c>
      <c r="G74" s="1">
        <v>0</v>
      </c>
      <c r="H74" s="1">
        <v>0</v>
      </c>
    </row>
    <row r="75" spans="1:8">
      <c r="A75" s="1" t="s">
        <v>75</v>
      </c>
      <c r="B75" s="2">
        <v>0.09700261801481247</v>
      </c>
      <c r="C75" s="1">
        <v>50</v>
      </c>
      <c r="D75" s="1">
        <v>0</v>
      </c>
      <c r="E75" s="1">
        <v>50</v>
      </c>
      <c r="F75" s="1">
        <v>0</v>
      </c>
      <c r="G75" s="1">
        <v>0</v>
      </c>
      <c r="H75" s="1">
        <v>0</v>
      </c>
    </row>
    <row r="76" spans="1:8">
      <c r="A76" s="1" t="s">
        <v>76</v>
      </c>
      <c r="B76" s="2">
        <v>0.09312251210212708</v>
      </c>
      <c r="C76" s="1">
        <v>48</v>
      </c>
      <c r="D76" s="1">
        <v>0</v>
      </c>
      <c r="E76" s="1">
        <v>48</v>
      </c>
      <c r="F76" s="1">
        <v>0</v>
      </c>
      <c r="G76" s="1">
        <v>0</v>
      </c>
      <c r="H76" s="1">
        <v>0</v>
      </c>
    </row>
    <row r="77" spans="1:8">
      <c r="A77" s="1" t="s">
        <v>77</v>
      </c>
      <c r="B77" s="2">
        <v>0.0776020959019661</v>
      </c>
      <c r="C77" s="1">
        <v>40</v>
      </c>
      <c r="D77" s="1">
        <v>0</v>
      </c>
      <c r="E77" s="1">
        <v>40</v>
      </c>
      <c r="F77" s="1">
        <v>0</v>
      </c>
      <c r="G77" s="1">
        <v>0</v>
      </c>
      <c r="H77" s="1">
        <v>0</v>
      </c>
    </row>
    <row r="78" spans="1:8">
      <c r="A78" s="1" t="s">
        <v>78</v>
      </c>
      <c r="B78" s="2">
        <v>0.0776020959019661</v>
      </c>
      <c r="C78" s="1">
        <v>40</v>
      </c>
      <c r="D78" s="1">
        <v>0</v>
      </c>
      <c r="E78" s="1">
        <v>40</v>
      </c>
      <c r="F78" s="1">
        <v>0</v>
      </c>
      <c r="G78" s="1">
        <v>0</v>
      </c>
      <c r="H78" s="1">
        <v>0</v>
      </c>
    </row>
    <row r="79" spans="1:8">
      <c r="A79" s="1" t="s">
        <v>79</v>
      </c>
      <c r="B79" s="2">
        <v>0.0776020959019661</v>
      </c>
      <c r="C79" s="1">
        <v>40</v>
      </c>
      <c r="D79" s="1">
        <v>0</v>
      </c>
      <c r="E79" s="1">
        <v>40</v>
      </c>
      <c r="F79" s="1">
        <v>0</v>
      </c>
      <c r="G79" s="1">
        <v>0</v>
      </c>
      <c r="H79" s="1">
        <v>0</v>
      </c>
    </row>
    <row r="80" spans="1:8">
      <c r="A80" s="1" t="s">
        <v>80</v>
      </c>
      <c r="B80" s="2">
        <v>0.0737219899892807</v>
      </c>
      <c r="C80" s="1">
        <v>38</v>
      </c>
      <c r="D80" s="1">
        <v>0</v>
      </c>
      <c r="E80" s="1">
        <v>38</v>
      </c>
      <c r="F80" s="1">
        <v>0</v>
      </c>
      <c r="G80" s="1">
        <v>0</v>
      </c>
      <c r="H80" s="1">
        <v>0</v>
      </c>
    </row>
    <row r="81" spans="1:8">
      <c r="A81" s="1" t="s">
        <v>81</v>
      </c>
      <c r="B81" s="2">
        <v>0.0737219899892807</v>
      </c>
      <c r="C81" s="1">
        <v>38</v>
      </c>
      <c r="D81" s="1">
        <v>0</v>
      </c>
      <c r="E81" s="1">
        <v>38</v>
      </c>
      <c r="F81" s="1">
        <v>0</v>
      </c>
      <c r="G81" s="1">
        <v>0</v>
      </c>
      <c r="H81" s="1">
        <v>0</v>
      </c>
    </row>
    <row r="82" spans="1:8">
      <c r="A82" s="1" t="s">
        <v>82</v>
      </c>
      <c r="B82" s="2">
        <v>0.06984188407659531</v>
      </c>
      <c r="C82" s="1">
        <v>36</v>
      </c>
      <c r="D82" s="1">
        <v>0</v>
      </c>
      <c r="E82" s="1">
        <v>36</v>
      </c>
      <c r="F82" s="1">
        <v>0</v>
      </c>
      <c r="G82" s="1">
        <v>0</v>
      </c>
      <c r="H82" s="1">
        <v>0</v>
      </c>
    </row>
    <row r="83" spans="1:8">
      <c r="A83" s="1" t="s">
        <v>19</v>
      </c>
      <c r="B83" s="2">
        <v>0.05820157006382942</v>
      </c>
      <c r="C83" s="1">
        <v>30</v>
      </c>
      <c r="D83" s="1">
        <v>4</v>
      </c>
      <c r="E83" s="1">
        <v>2</v>
      </c>
      <c r="F83" s="1">
        <v>24</v>
      </c>
      <c r="G83" s="1">
        <v>4</v>
      </c>
      <c r="H83" s="1">
        <v>0</v>
      </c>
    </row>
    <row r="84" spans="1:8">
      <c r="A84" s="1" t="s">
        <v>83</v>
      </c>
      <c r="B84" s="2">
        <v>0.05432146787643433</v>
      </c>
      <c r="C84" s="1">
        <v>28</v>
      </c>
      <c r="D84" s="1">
        <v>0</v>
      </c>
      <c r="E84" s="1">
        <v>28</v>
      </c>
      <c r="F84" s="1">
        <v>0</v>
      </c>
      <c r="G84" s="1">
        <v>0</v>
      </c>
      <c r="H84" s="1">
        <v>0</v>
      </c>
    </row>
    <row r="85" spans="1:8">
      <c r="A85" s="1" t="s">
        <v>84</v>
      </c>
      <c r="B85" s="2">
        <v>0.05044136196374893</v>
      </c>
      <c r="C85" s="1">
        <v>26</v>
      </c>
      <c r="D85" s="1">
        <v>0</v>
      </c>
      <c r="E85" s="1">
        <v>26</v>
      </c>
      <c r="F85" s="1">
        <v>0</v>
      </c>
      <c r="G85" s="1">
        <v>0</v>
      </c>
      <c r="H85" s="1">
        <v>0</v>
      </c>
    </row>
    <row r="86" spans="1:8">
      <c r="A86" s="1" t="s">
        <v>85</v>
      </c>
      <c r="B86" s="2">
        <v>0.04656125605106354</v>
      </c>
      <c r="C86" s="1">
        <v>24</v>
      </c>
      <c r="D86" s="1">
        <v>0</v>
      </c>
      <c r="E86" s="1">
        <v>24</v>
      </c>
      <c r="F86" s="1">
        <v>0</v>
      </c>
      <c r="G86" s="1">
        <v>0</v>
      </c>
      <c r="H86" s="1">
        <v>0</v>
      </c>
    </row>
    <row r="87" spans="1:8">
      <c r="A87" s="1" t="s">
        <v>86</v>
      </c>
      <c r="B87" s="2">
        <v>0.04656125605106354</v>
      </c>
      <c r="C87" s="1">
        <v>24</v>
      </c>
      <c r="D87" s="1">
        <v>0</v>
      </c>
      <c r="E87" s="1">
        <v>24</v>
      </c>
      <c r="F87" s="1">
        <v>0</v>
      </c>
      <c r="G87" s="1">
        <v>0</v>
      </c>
      <c r="H87" s="1">
        <v>0</v>
      </c>
    </row>
    <row r="88" spans="1:8">
      <c r="A88" s="1" t="s">
        <v>87</v>
      </c>
      <c r="B88" s="2">
        <v>0.04656125605106354</v>
      </c>
      <c r="C88" s="1">
        <v>24</v>
      </c>
      <c r="D88" s="1">
        <v>0</v>
      </c>
      <c r="E88" s="1">
        <v>24</v>
      </c>
      <c r="F88" s="1">
        <v>0</v>
      </c>
      <c r="G88" s="1">
        <v>0</v>
      </c>
      <c r="H88" s="1">
        <v>0</v>
      </c>
    </row>
    <row r="89" spans="1:8">
      <c r="A89" s="1" t="s">
        <v>88</v>
      </c>
      <c r="B89" s="2">
        <v>0.03492094203829765</v>
      </c>
      <c r="C89" s="1">
        <v>18</v>
      </c>
      <c r="D89" s="1">
        <v>0</v>
      </c>
      <c r="E89" s="1">
        <v>18</v>
      </c>
      <c r="F89" s="1">
        <v>0</v>
      </c>
      <c r="G89" s="1">
        <v>0</v>
      </c>
      <c r="H89" s="1">
        <v>0</v>
      </c>
    </row>
    <row r="90" spans="1:8">
      <c r="A90" s="1" t="s">
        <v>89</v>
      </c>
      <c r="B90" s="2">
        <v>0.03104083798825741</v>
      </c>
      <c r="C90" s="1">
        <v>16</v>
      </c>
      <c r="D90" s="1">
        <v>0</v>
      </c>
      <c r="E90" s="1">
        <v>16</v>
      </c>
      <c r="F90" s="1">
        <v>0</v>
      </c>
      <c r="G90" s="1">
        <v>0</v>
      </c>
      <c r="H90" s="1">
        <v>0</v>
      </c>
    </row>
    <row r="91" spans="1:8">
      <c r="A91" s="1" t="s">
        <v>90</v>
      </c>
      <c r="B91" s="2">
        <v>0.02716073393821716</v>
      </c>
      <c r="C91" s="1">
        <v>14</v>
      </c>
      <c r="D91" s="1">
        <v>0</v>
      </c>
      <c r="E91" s="1">
        <v>14</v>
      </c>
      <c r="F91" s="1">
        <v>0</v>
      </c>
      <c r="G91" s="1">
        <v>0</v>
      </c>
      <c r="H91" s="1">
        <v>0</v>
      </c>
    </row>
    <row r="92" spans="1:8">
      <c r="A92" s="1" t="s">
        <v>91</v>
      </c>
      <c r="B92" s="2">
        <v>0.02716073393821716</v>
      </c>
      <c r="C92" s="1">
        <v>14</v>
      </c>
      <c r="D92" s="1">
        <v>0</v>
      </c>
      <c r="E92" s="1">
        <v>14</v>
      </c>
      <c r="F92" s="1">
        <v>0</v>
      </c>
      <c r="G92" s="1">
        <v>0</v>
      </c>
      <c r="H92" s="1">
        <v>0</v>
      </c>
    </row>
    <row r="93" spans="1:8">
      <c r="A93" s="1" t="s">
        <v>92</v>
      </c>
      <c r="B93" s="2">
        <v>0.02716073393821716</v>
      </c>
      <c r="C93" s="1">
        <v>14</v>
      </c>
      <c r="D93" s="1">
        <v>0</v>
      </c>
      <c r="E93" s="1">
        <v>14</v>
      </c>
      <c r="F93" s="1">
        <v>0</v>
      </c>
      <c r="G93" s="1">
        <v>0</v>
      </c>
      <c r="H93" s="1">
        <v>0</v>
      </c>
    </row>
    <row r="94" spans="1:8">
      <c r="A94" s="1" t="s">
        <v>93</v>
      </c>
      <c r="B94" s="2">
        <v>0.02716073393821716</v>
      </c>
      <c r="C94" s="1">
        <v>14</v>
      </c>
      <c r="D94" s="1">
        <v>0</v>
      </c>
      <c r="E94" s="1">
        <v>14</v>
      </c>
      <c r="F94" s="1">
        <v>0</v>
      </c>
      <c r="G94" s="1">
        <v>0</v>
      </c>
      <c r="H94" s="1">
        <v>0</v>
      </c>
    </row>
    <row r="95" spans="1:8">
      <c r="A95" s="1" t="s">
        <v>94</v>
      </c>
      <c r="B95" s="2">
        <v>0.02328062802553177</v>
      </c>
      <c r="C95" s="1">
        <v>12</v>
      </c>
      <c r="D95" s="1">
        <v>0</v>
      </c>
      <c r="E95" s="1">
        <v>12</v>
      </c>
      <c r="F95" s="1">
        <v>0</v>
      </c>
      <c r="G95" s="1">
        <v>0</v>
      </c>
      <c r="H95" s="1">
        <v>0</v>
      </c>
    </row>
    <row r="96" spans="1:8">
      <c r="A96" s="1" t="s">
        <v>95</v>
      </c>
      <c r="B96" s="2">
        <v>0.02328062802553177</v>
      </c>
      <c r="C96" s="1">
        <v>12</v>
      </c>
      <c r="D96" s="1">
        <v>0</v>
      </c>
      <c r="E96" s="1">
        <v>12</v>
      </c>
      <c r="F96" s="1">
        <v>0</v>
      </c>
      <c r="G96" s="1">
        <v>0</v>
      </c>
      <c r="H96" s="1">
        <v>0</v>
      </c>
    </row>
    <row r="97" spans="1:8">
      <c r="A97" s="1" t="s">
        <v>96</v>
      </c>
      <c r="B97" s="2">
        <v>0.01940052397549152</v>
      </c>
      <c r="C97" s="1">
        <v>10</v>
      </c>
      <c r="D97" s="1">
        <v>0</v>
      </c>
      <c r="E97" s="1">
        <v>10</v>
      </c>
      <c r="F97" s="1">
        <v>0</v>
      </c>
      <c r="G97" s="1">
        <v>0</v>
      </c>
      <c r="H97" s="1">
        <v>0</v>
      </c>
    </row>
    <row r="98" spans="1:8">
      <c r="A98" s="1" t="s">
        <v>97</v>
      </c>
      <c r="B98" s="2">
        <v>0.01940052397549152</v>
      </c>
      <c r="C98" s="1">
        <v>10</v>
      </c>
      <c r="D98" s="1">
        <v>0</v>
      </c>
      <c r="E98" s="1">
        <v>10</v>
      </c>
      <c r="F98" s="1">
        <v>0</v>
      </c>
      <c r="G98" s="1">
        <v>0</v>
      </c>
      <c r="H98" s="1">
        <v>0</v>
      </c>
    </row>
    <row r="99" spans="1:8">
      <c r="A99" s="1" t="s">
        <v>98</v>
      </c>
      <c r="B99" s="2">
        <v>0.01940052397549152</v>
      </c>
      <c r="C99" s="1">
        <v>10</v>
      </c>
      <c r="D99" s="1">
        <v>0</v>
      </c>
      <c r="E99" s="1">
        <v>10</v>
      </c>
      <c r="F99" s="1">
        <v>0</v>
      </c>
      <c r="G99" s="1">
        <v>0</v>
      </c>
      <c r="H99" s="1">
        <v>0</v>
      </c>
    </row>
    <row r="100" spans="1:8">
      <c r="A100" s="1" t="s">
        <v>99</v>
      </c>
      <c r="B100" s="2">
        <v>0.0155204189941287</v>
      </c>
      <c r="C100" s="1">
        <v>8</v>
      </c>
      <c r="D100" s="1">
        <v>0</v>
      </c>
      <c r="E100" s="1">
        <v>8</v>
      </c>
      <c r="F100" s="1">
        <v>0</v>
      </c>
      <c r="G100" s="1">
        <v>0</v>
      </c>
      <c r="H100" s="1">
        <v>0</v>
      </c>
    </row>
    <row r="101" spans="1:8">
      <c r="A101" s="1" t="s">
        <v>11</v>
      </c>
      <c r="B101" s="2">
        <v>0.0155204189941287</v>
      </c>
      <c r="C101" s="1">
        <v>8</v>
      </c>
      <c r="D101" s="1">
        <v>96</v>
      </c>
      <c r="E101" s="1">
        <v>8</v>
      </c>
      <c r="F101" s="1">
        <v>0</v>
      </c>
      <c r="G101" s="1">
        <v>0</v>
      </c>
      <c r="H101" s="1">
        <v>96</v>
      </c>
    </row>
    <row r="102" spans="1:8">
      <c r="A102" s="1" t="s">
        <v>100</v>
      </c>
      <c r="B102" s="2">
        <v>0.0155204189941287</v>
      </c>
      <c r="C102" s="1">
        <v>8</v>
      </c>
      <c r="D102" s="1">
        <v>0</v>
      </c>
      <c r="E102" s="1">
        <v>8</v>
      </c>
      <c r="F102" s="1">
        <v>0</v>
      </c>
      <c r="G102" s="1">
        <v>0</v>
      </c>
      <c r="H102" s="1">
        <v>0</v>
      </c>
    </row>
    <row r="103" spans="1:8">
      <c r="A103" s="1" t="s">
        <v>101</v>
      </c>
      <c r="B103" s="2">
        <v>0.0155204189941287</v>
      </c>
      <c r="C103" s="1">
        <v>8</v>
      </c>
      <c r="D103" s="1">
        <v>0</v>
      </c>
      <c r="E103" s="1">
        <v>8</v>
      </c>
      <c r="F103" s="1">
        <v>0</v>
      </c>
      <c r="G103" s="1">
        <v>0</v>
      </c>
      <c r="H103" s="1">
        <v>0</v>
      </c>
    </row>
    <row r="104" spans="1:8">
      <c r="A104" s="1" t="s">
        <v>102</v>
      </c>
      <c r="B104" s="2">
        <v>0.01164031401276588</v>
      </c>
      <c r="C104" s="1">
        <v>6</v>
      </c>
      <c r="D104" s="1">
        <v>0</v>
      </c>
      <c r="E104" s="1">
        <v>6</v>
      </c>
      <c r="F104" s="1">
        <v>0</v>
      </c>
      <c r="G104" s="1">
        <v>0</v>
      </c>
      <c r="H104" s="1">
        <v>0</v>
      </c>
    </row>
    <row r="105" spans="1:8">
      <c r="A105" s="1" t="s">
        <v>103</v>
      </c>
      <c r="B105" s="2">
        <v>0.01164031401276588</v>
      </c>
      <c r="C105" s="1">
        <v>6</v>
      </c>
      <c r="D105" s="1">
        <v>0</v>
      </c>
      <c r="E105" s="1">
        <v>6</v>
      </c>
      <c r="F105" s="1">
        <v>0</v>
      </c>
      <c r="G105" s="1">
        <v>0</v>
      </c>
      <c r="H105" s="1">
        <v>0</v>
      </c>
    </row>
    <row r="106" spans="1:8">
      <c r="A106" s="1" t="s">
        <v>104</v>
      </c>
      <c r="B106" s="2">
        <v>0.01164031401276588</v>
      </c>
      <c r="C106" s="1">
        <v>6</v>
      </c>
      <c r="D106" s="1">
        <v>0</v>
      </c>
      <c r="E106" s="1">
        <v>6</v>
      </c>
      <c r="F106" s="1">
        <v>0</v>
      </c>
      <c r="G106" s="1">
        <v>0</v>
      </c>
      <c r="H106" s="1">
        <v>0</v>
      </c>
    </row>
    <row r="107" spans="1:8">
      <c r="A107" s="1" t="s">
        <v>105</v>
      </c>
      <c r="B107" s="2">
        <v>0.007760209497064352</v>
      </c>
      <c r="C107" s="1">
        <v>4</v>
      </c>
      <c r="D107" s="1">
        <v>0</v>
      </c>
      <c r="E107" s="1">
        <v>4</v>
      </c>
      <c r="F107" s="1">
        <v>0</v>
      </c>
      <c r="G107" s="1">
        <v>0</v>
      </c>
      <c r="H107" s="1">
        <v>0</v>
      </c>
    </row>
    <row r="108" spans="1:8">
      <c r="A108" s="1" t="s">
        <v>106</v>
      </c>
      <c r="B108" s="2">
        <v>0.007760209497064352</v>
      </c>
      <c r="C108" s="1">
        <v>4</v>
      </c>
      <c r="D108" s="1">
        <v>0</v>
      </c>
      <c r="E108" s="1">
        <v>4</v>
      </c>
      <c r="F108" s="1">
        <v>0</v>
      </c>
      <c r="G108" s="1">
        <v>0</v>
      </c>
      <c r="H108" s="1">
        <v>0</v>
      </c>
    </row>
    <row r="109" spans="1:8">
      <c r="A109" s="1" t="s">
        <v>107</v>
      </c>
      <c r="B109" s="2">
        <v>0.007760209497064352</v>
      </c>
      <c r="C109" s="1">
        <v>4</v>
      </c>
      <c r="D109" s="1">
        <v>0</v>
      </c>
      <c r="E109" s="1">
        <v>4</v>
      </c>
      <c r="F109" s="1">
        <v>0</v>
      </c>
      <c r="G109" s="1">
        <v>0</v>
      </c>
      <c r="H109" s="1">
        <v>0</v>
      </c>
    </row>
    <row r="110" spans="1:8">
      <c r="A110" s="1" t="s">
        <v>108</v>
      </c>
      <c r="B110" s="2">
        <v>0.003880104748532176</v>
      </c>
      <c r="C110" s="1">
        <v>2</v>
      </c>
      <c r="D110" s="1">
        <v>0</v>
      </c>
      <c r="E110" s="1">
        <v>2</v>
      </c>
      <c r="F110" s="1">
        <v>0</v>
      </c>
      <c r="G110" s="1">
        <v>0</v>
      </c>
      <c r="H110" s="1">
        <v>0</v>
      </c>
    </row>
    <row r="111" spans="1:8">
      <c r="A111" s="1" t="s">
        <v>109</v>
      </c>
      <c r="B111" s="2">
        <v>0.003880104748532176</v>
      </c>
      <c r="C111" s="1">
        <v>2</v>
      </c>
      <c r="D111" s="1">
        <v>0</v>
      </c>
      <c r="E111" s="1">
        <v>2</v>
      </c>
      <c r="F111" s="1">
        <v>0</v>
      </c>
      <c r="G111" s="1">
        <v>0</v>
      </c>
      <c r="H111" s="1">
        <v>0</v>
      </c>
    </row>
    <row r="112" spans="1:8">
      <c r="A112" s="1" t="s">
        <v>110</v>
      </c>
      <c r="B112" s="2">
        <v>0.003880104748532176</v>
      </c>
      <c r="C112" s="1">
        <v>2</v>
      </c>
      <c r="D112" s="1">
        <v>0</v>
      </c>
      <c r="E112" s="1">
        <v>2</v>
      </c>
      <c r="F112" s="1">
        <v>0</v>
      </c>
      <c r="G112" s="1">
        <v>0</v>
      </c>
      <c r="H112" s="1">
        <v>0</v>
      </c>
    </row>
    <row r="113" spans="1:8">
      <c r="A113" s="1" t="s">
        <v>111</v>
      </c>
      <c r="B113" s="2">
        <v>0.003880104748532176</v>
      </c>
      <c r="C113" s="1">
        <v>2</v>
      </c>
      <c r="D113" s="1">
        <v>0</v>
      </c>
      <c r="E113" s="1">
        <v>2</v>
      </c>
      <c r="F113" s="1">
        <v>0</v>
      </c>
      <c r="G113" s="1">
        <v>0</v>
      </c>
      <c r="H113" s="1">
        <v>0</v>
      </c>
    </row>
    <row r="114" spans="1:8">
      <c r="A114" s="1" t="s">
        <v>112</v>
      </c>
      <c r="B114" s="2">
        <v>0.003880104748532176</v>
      </c>
      <c r="C114" s="1">
        <v>2</v>
      </c>
      <c r="D114" s="1">
        <v>0</v>
      </c>
      <c r="E114" s="1">
        <v>2</v>
      </c>
      <c r="F114" s="1">
        <v>0</v>
      </c>
      <c r="G114" s="1">
        <v>0</v>
      </c>
      <c r="H114" s="1">
        <v>0</v>
      </c>
    </row>
    <row r="115" spans="1:8">
      <c r="A115" t="s">
        <v>114</v>
      </c>
      <c r="B115">
        <f>SUBTOTAL(109,[flash_percent])</f>
        <v>0</v>
      </c>
      <c r="C115">
        <f>SUBTOTAL(109,[flash])</f>
        <v>0</v>
      </c>
      <c r="D115">
        <f>SUBTOTAL(109,[ram])</f>
        <v>0</v>
      </c>
      <c r="E115">
        <f>SUBTOTAL(109,[Code])</f>
        <v>0</v>
      </c>
      <c r="F115">
        <f>SUBTOTAL(109,[RO_data])</f>
        <v>0</v>
      </c>
      <c r="G115">
        <f>SUBTOTAL(109,[RW_data])</f>
        <v>0</v>
      </c>
      <c r="H115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2026-03-15T06:15:45Z</dcterms:created>
  <dcterms:modified xsi:type="dcterms:W3CDTF">2026-03-15T06:15:45Z</dcterms:modified>
</cp:coreProperties>
</file>